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mc:AlternateContent xmlns:mc="http://schemas.openxmlformats.org/markup-compatibility/2006">
    <mc:Choice Requires="x15">
      <x15ac:absPath xmlns:x15ac="http://schemas.microsoft.com/office/spreadsheetml/2010/11/ac" url="https://d.docs.live.net/7569DF33DDB387F3/Documenti/"/>
    </mc:Choice>
  </mc:AlternateContent>
  <xr:revisionPtr revIDLastSave="4" documentId="8_{23300B2B-CE2A-49DA-9EAD-EB55C4EA18AD}" xr6:coauthVersionLast="47" xr6:coauthVersionMax="47" xr10:uidLastSave="{E49FB2E6-21A5-4830-85A9-5F543875CA0D}"/>
  <bookViews>
    <workbookView xWindow="-108" yWindow="-108" windowWidth="23256" windowHeight="12456" xr2:uid="{00000000-000D-0000-FFFF-FFFF00000000}"/>
  </bookViews>
  <sheets>
    <sheet name="Project schedule" sheetId="11" r:id="rId1"/>
    <sheet name="About" sheetId="12" r:id="rId2"/>
  </sheets>
  <definedNames>
    <definedName name="Display_Week">'Project schedule'!$Q$2</definedName>
    <definedName name="_xlnm.Print_Titles" localSheetId="0">'Project schedule'!$5:$7</definedName>
    <definedName name="Project_Start">'Project schedule'!$Q$1</definedName>
    <definedName name="task_end" localSheetId="0">'Project schedule'!$F1</definedName>
    <definedName name="task_progress" localSheetId="0">'Project schedule'!$D1</definedName>
    <definedName name="task_start" localSheetId="0">'Project schedule'!$E1</definedName>
    <definedName name="today" localSheetId="0">TODAY()</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1" i="11" l="1"/>
  <c r="F11" i="11" s="1"/>
  <c r="H8" i="11"/>
  <c r="E15" i="11" l="1"/>
  <c r="E14" i="11"/>
  <c r="F14" i="11" s="1"/>
  <c r="E13" i="11"/>
  <c r="F13" i="11" s="1"/>
  <c r="E12" i="11"/>
  <c r="F12" i="11" s="1"/>
  <c r="F15" i="11"/>
  <c r="E10" i="11"/>
  <c r="E18" i="11" l="1"/>
  <c r="F18" i="11" s="1"/>
  <c r="E17" i="11"/>
  <c r="F10" i="11"/>
  <c r="I6" i="11"/>
  <c r="H33" i="11"/>
  <c r="H32" i="11"/>
  <c r="H27" i="11"/>
  <c r="H21" i="11"/>
  <c r="H16" i="11"/>
  <c r="H9" i="11"/>
  <c r="E19" i="11" l="1"/>
  <c r="E28" i="11" s="1"/>
  <c r="F28" i="11" s="1"/>
  <c r="E23" i="11"/>
  <c r="F17" i="11"/>
  <c r="E22" i="11"/>
  <c r="H10" i="11"/>
  <c r="I7" i="11"/>
  <c r="F19" i="11" l="1"/>
  <c r="F23" i="11"/>
  <c r="H23" i="11" s="1"/>
  <c r="E26" i="11"/>
  <c r="F26" i="11" s="1"/>
  <c r="F22" i="11"/>
  <c r="H22" i="11"/>
  <c r="H28" i="11"/>
  <c r="H11" i="11"/>
  <c r="H17" i="11"/>
  <c r="H15" i="11"/>
  <c r="J6" i="11"/>
  <c r="K6" i="11" s="1"/>
  <c r="L6" i="11" s="1"/>
  <c r="M6" i="11" s="1"/>
  <c r="N6" i="11" s="1"/>
  <c r="O6" i="11" s="1"/>
  <c r="P6" i="11" s="1"/>
  <c r="I5" i="11"/>
  <c r="E29" i="11" l="1"/>
  <c r="H26" i="11"/>
  <c r="E24" i="11"/>
  <c r="E25" i="11"/>
  <c r="F25" i="11" s="1"/>
  <c r="E20" i="11"/>
  <c r="F20" i="11" s="1"/>
  <c r="H25" i="11"/>
  <c r="H18" i="11"/>
  <c r="H12" i="11"/>
  <c r="H14" i="11"/>
  <c r="P5" i="11"/>
  <c r="Q6" i="11"/>
  <c r="R6" i="11" s="1"/>
  <c r="S6" i="11" s="1"/>
  <c r="T6" i="11" s="1"/>
  <c r="U6" i="11" s="1"/>
  <c r="V6" i="11" s="1"/>
  <c r="W6" i="11" s="1"/>
  <c r="J7" i="11"/>
  <c r="E30" i="11" l="1"/>
  <c r="F29" i="11"/>
  <c r="H29" i="11" s="1"/>
  <c r="F24" i="11"/>
  <c r="H24" i="11" s="1"/>
  <c r="H20" i="11"/>
  <c r="H19" i="11"/>
  <c r="W5" i="11"/>
  <c r="X6" i="11"/>
  <c r="Y6" i="11" s="1"/>
  <c r="Z6" i="11" s="1"/>
  <c r="AA6" i="11" s="1"/>
  <c r="AB6" i="11" s="1"/>
  <c r="AC6" i="11" s="1"/>
  <c r="AD6" i="11" s="1"/>
  <c r="K7" i="11"/>
  <c r="F30" i="11" l="1"/>
  <c r="AE6" i="11"/>
  <c r="AF6" i="11" s="1"/>
  <c r="AG6" i="11" s="1"/>
  <c r="AH6" i="11" s="1"/>
  <c r="AI6" i="11" s="1"/>
  <c r="AJ6" i="11" s="1"/>
  <c r="AD5" i="11"/>
  <c r="L7" i="11"/>
  <c r="E31" i="11" l="1"/>
  <c r="F31" i="11" s="1"/>
  <c r="H31" i="11" s="1"/>
  <c r="H30" i="11"/>
  <c r="AK6" i="11"/>
  <c r="AL6" i="11" s="1"/>
  <c r="AM6" i="11" s="1"/>
  <c r="AN6" i="11" s="1"/>
  <c r="AO6" i="11" s="1"/>
  <c r="AP6" i="11" s="1"/>
  <c r="AQ6" i="11" s="1"/>
  <c r="M7" i="11"/>
  <c r="AR6" i="11" l="1"/>
  <c r="AS6" i="11" s="1"/>
  <c r="AK5" i="11"/>
  <c r="N7" i="11"/>
  <c r="AT6" i="11" l="1"/>
  <c r="AS7" i="11"/>
  <c r="AR5" i="11"/>
  <c r="O7" i="11"/>
  <c r="AU6" i="11" l="1"/>
  <c r="AT7" i="11"/>
  <c r="AV6" i="11" l="1"/>
  <c r="AU7" i="11"/>
  <c r="P7" i="11"/>
  <c r="Q7" i="11"/>
  <c r="AW6" i="11" l="1"/>
  <c r="AV7" i="11"/>
  <c r="R7" i="11"/>
  <c r="AX6" i="11" l="1"/>
  <c r="AY6" i="11" s="1"/>
  <c r="AW7" i="11"/>
  <c r="S7" i="11"/>
  <c r="AY7" i="11" l="1"/>
  <c r="AZ6" i="11"/>
  <c r="AY5" i="11"/>
  <c r="AX7" i="11"/>
  <c r="T7" i="11"/>
  <c r="BA6" i="11" l="1"/>
  <c r="AZ7" i="11"/>
  <c r="U7" i="11"/>
  <c r="BA7" i="11" l="1"/>
  <c r="BB6" i="11"/>
  <c r="V7" i="11"/>
  <c r="BB7" i="11" l="1"/>
  <c r="BC6" i="11"/>
  <c r="W7" i="11"/>
  <c r="BC7" i="11" l="1"/>
  <c r="BD6" i="11"/>
  <c r="X7" i="11"/>
  <c r="BE6" i="11" l="1"/>
  <c r="BD7" i="11"/>
  <c r="Y7" i="11"/>
  <c r="BE7" i="11" l="1"/>
  <c r="BF6" i="11"/>
  <c r="Z7" i="11"/>
  <c r="BF7" i="11" l="1"/>
  <c r="BG6" i="11"/>
  <c r="BF5" i="11"/>
  <c r="AA7" i="11"/>
  <c r="BG7" i="11" l="1"/>
  <c r="BH6" i="11"/>
  <c r="AB7" i="11"/>
  <c r="BI6" i="11" l="1"/>
  <c r="BH7" i="11"/>
  <c r="AC7" i="11"/>
  <c r="BJ6" i="11" l="1"/>
  <c r="BI7" i="11"/>
  <c r="AD7" i="11"/>
  <c r="BK6" i="11" l="1"/>
  <c r="BJ7" i="11"/>
  <c r="AE7" i="11"/>
  <c r="BL6" i="11" l="1"/>
  <c r="BK7" i="11"/>
  <c r="AF7" i="11"/>
  <c r="BL7" i="11" l="1"/>
  <c r="AG7" i="11"/>
  <c r="AH7" i="11" l="1"/>
  <c r="AI7" i="11" l="1"/>
  <c r="AJ7" i="11" l="1"/>
  <c r="AK7" i="11" l="1"/>
  <c r="AL7" i="11" l="1"/>
  <c r="AM7" i="11" l="1"/>
  <c r="AN7" i="11" l="1"/>
  <c r="AO7" i="11" l="1"/>
  <c r="AP7" i="11" l="1"/>
  <c r="AQ7" i="11" l="1"/>
  <c r="AR7" i="11" l="1"/>
</calcChain>
</file>

<file path=xl/sharedStrings.xml><?xml version="1.0" encoding="utf-8"?>
<sst xmlns="http://schemas.openxmlformats.org/spreadsheetml/2006/main" count="69" uniqueCount="56">
  <si>
    <t>PROGRESS</t>
  </si>
  <si>
    <t>Project Management Templates</t>
  </si>
  <si>
    <t>START</t>
  </si>
  <si>
    <t>END</t>
  </si>
  <si>
    <t>TASK</t>
  </si>
  <si>
    <t>More Project Management Templates</t>
  </si>
  <si>
    <t>About This Template</t>
  </si>
  <si>
    <t>SIMPLE GANTT CHART by Vertex42.com</t>
  </si>
  <si>
    <t>Additional Help</t>
  </si>
  <si>
    <t>About Vertex42</t>
  </si>
  <si>
    <t>Vertex42.com provides over 300 professionally designed spreadsheet templates for business, home, and education - most of which are free to download. Their collection includes a variety of calendars, planners, and schedules as well as personal finance spreadsheets for budgeting, debt reduction, and loan amortization.</t>
  </si>
  <si>
    <t>Businesses will find invoices, time sheets, inventory trackers, financial statements, and project planning templates. Teachers and students will find resources such as class schedules, grade books, and attendance sheets. Organize your family life with meal planners, checklists, and exercise logs. Each template is thoroughly researched, refined, and improved over time through feedback from thousands of users.</t>
  </si>
  <si>
    <t>Visit Vertex42.com to download other project management templates, including different types of project schedules, Gantt charts, tasks lists, etc.</t>
  </si>
  <si>
    <t>How to Use the Simple Gantt Chart</t>
  </si>
  <si>
    <t>This template provides a simple way to create a Gantt chart to help visualize and track your project. Simply enter your tasks and start and end dates - no formulas required. The bars in the Gantt chart represent the duration of the task and are displayed using conditional formatting. Insert new tasks by inserting new rows.</t>
  </si>
  <si>
    <t>Click on the link below to visit vertex42.com and learn more about how to use this template, such as how to calculate days and work days, create task dependencies, change the colors of the bars, add a scroll bar to make it easier to change the display week, extend the date range displayed in the chart, etc.</t>
  </si>
  <si>
    <t>There are 2 worksheets in this workbook. 
TimeSheet
About
The instructions for each worksheet are in the A column starting in cell A1 of each worksheet. They are written with hidden text. Each step guides you through the information in that row. Each subsequent step continues in cell A2, A3, and so on, unless otherwise explicitly directed. For example, instruction text might say "continue to cell A6" for the next step. 
This hidden text will not print.
To remove these instructions from the worksheet, simply delete column A.</t>
  </si>
  <si>
    <t>Guide for Screen Readers</t>
  </si>
  <si>
    <t xml:space="preserve">Do not delete this row. This row is hidden to preserve a formula that is used to highlight the current day within the project schedule. </t>
  </si>
  <si>
    <t>Initiation</t>
  </si>
  <si>
    <t>Project start:</t>
  </si>
  <si>
    <t>Display week:</t>
  </si>
  <si>
    <t>ASSIGNED TO</t>
  </si>
  <si>
    <t>All</t>
  </si>
  <si>
    <t>Distribute Tasks</t>
  </si>
  <si>
    <t>Make a Project Plan</t>
  </si>
  <si>
    <t>Luca</t>
  </si>
  <si>
    <t>Create Template Report</t>
  </si>
  <si>
    <t>Create Template Presentation</t>
  </si>
  <si>
    <t>Tizian</t>
  </si>
  <si>
    <t>Coding</t>
  </si>
  <si>
    <t>Create Game Environment</t>
  </si>
  <si>
    <t>Create Git Repository</t>
  </si>
  <si>
    <t>Define goals, Define Working Environment</t>
  </si>
  <si>
    <t>Kewan</t>
  </si>
  <si>
    <t>Merge Codes</t>
  </si>
  <si>
    <t>Create Speech Recognition</t>
  </si>
  <si>
    <t>Kewan, Tizian</t>
  </si>
  <si>
    <t>Testing and Validation</t>
  </si>
  <si>
    <t>Documentation</t>
  </si>
  <si>
    <t>Motivation</t>
  </si>
  <si>
    <t>Methods</t>
  </si>
  <si>
    <t>Results</t>
  </si>
  <si>
    <t>Discussion</t>
  </si>
  <si>
    <t>Outlook</t>
  </si>
  <si>
    <t>Evaluation and Presentation</t>
  </si>
  <si>
    <t>Status update meeting</t>
  </si>
  <si>
    <t>Fill Presentation</t>
  </si>
  <si>
    <t>Split Presentation Parts</t>
  </si>
  <si>
    <t>Target Completion Date</t>
  </si>
  <si>
    <t xml:space="preserve">Speech-Controlled Game </t>
  </si>
  <si>
    <t>Luca Delli Castelli</t>
  </si>
  <si>
    <t>Kewan Marboeuf</t>
  </si>
  <si>
    <t>Tizian Quinque</t>
  </si>
  <si>
    <t>Michael Vogt</t>
  </si>
  <si>
    <t>Michael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</si>
</sst>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_(* #,##0.00_);_(* \(#,##0.00\);_(* &quot;-&quot;??_);_(@_)"/>
    <numFmt numFmtId="165" formatCode="m/d/yy;@"/>
    <numFmt numFmtId="166" formatCode="ddd\,\ m/d/yyyy"/>
    <numFmt numFmtId="167" formatCode="mmm\ d\,\ yyyy"/>
    <numFmt numFmtId="168" formatCode="d"/>
  </numFmts>
  <fonts count="32" x14ac:knownFonts="1">
    <font>
      <sz val="11"/>
      <color theme="1"/>
      <name val="Arial"/>
      <family val="2"/>
      <scheme val="minor"/>
    </font>
    <font>
      <sz val="10"/>
      <name val="Arial"/>
      <family val="2"/>
      <scheme val="minor"/>
    </font>
    <font>
      <u/>
      <sz val="11"/>
      <color indexed="12"/>
      <name val="Arial"/>
      <family val="2"/>
    </font>
    <font>
      <sz val="11"/>
      <name val="Arial"/>
      <family val="2"/>
      <scheme val="minor"/>
    </font>
    <font>
      <sz val="11"/>
      <color theme="1"/>
      <name val="Arial"/>
      <family val="2"/>
      <scheme val="minor"/>
    </font>
    <font>
      <sz val="14"/>
      <color theme="1"/>
      <name val="Arial"/>
      <family val="2"/>
      <scheme val="minor"/>
    </font>
    <font>
      <b/>
      <sz val="22"/>
      <color theme="1" tint="0.34998626667073579"/>
      <name val="Arial Black"/>
      <family val="2"/>
      <scheme val="major"/>
    </font>
    <font>
      <b/>
      <sz val="11"/>
      <color theme="1" tint="0.499984740745262"/>
      <name val="Arial"/>
      <family val="2"/>
      <scheme val="minor"/>
    </font>
    <font>
      <sz val="10"/>
      <color theme="1" tint="0.499984740745262"/>
      <name val="Arial"/>
      <family val="2"/>
    </font>
    <font>
      <b/>
      <sz val="12"/>
      <color theme="1" tint="0.34998626667073579"/>
      <name val="Arial"/>
      <family val="2"/>
      <scheme val="minor"/>
    </font>
    <font>
      <b/>
      <sz val="10"/>
      <name val="Arial"/>
      <family val="2"/>
      <scheme val="minor"/>
    </font>
    <font>
      <sz val="11"/>
      <color theme="1" tint="0.499984740745262"/>
      <name val="Arial"/>
      <family val="2"/>
      <scheme val="minor"/>
    </font>
    <font>
      <sz val="20"/>
      <name val="Arial Black"/>
      <family val="2"/>
      <scheme val="major"/>
    </font>
    <font>
      <sz val="11"/>
      <color theme="0"/>
      <name val="Arial"/>
      <family val="2"/>
      <scheme val="minor"/>
    </font>
    <font>
      <sz val="10"/>
      <name val="Arial"/>
      <family val="2"/>
    </font>
    <font>
      <b/>
      <sz val="20"/>
      <color theme="4" tint="-0.249977111117893"/>
      <name val="Arial"/>
      <family val="2"/>
    </font>
    <font>
      <sz val="11"/>
      <color theme="1"/>
      <name val="Arial"/>
      <family val="2"/>
    </font>
    <font>
      <sz val="16"/>
      <color theme="1"/>
      <name val="Arial"/>
      <family val="2"/>
      <scheme val="minor"/>
    </font>
    <font>
      <sz val="10"/>
      <color theme="1"/>
      <name val="Arial"/>
      <family val="2"/>
      <scheme val="minor"/>
    </font>
    <font>
      <b/>
      <sz val="10"/>
      <color theme="1"/>
      <name val="Arial"/>
      <family val="2"/>
      <scheme val="minor"/>
    </font>
    <font>
      <b/>
      <sz val="8"/>
      <name val="Arial"/>
      <family val="2"/>
      <scheme val="minor"/>
    </font>
    <font>
      <b/>
      <sz val="8"/>
      <color theme="1"/>
      <name val="Arial"/>
      <family val="2"/>
      <scheme val="minor"/>
    </font>
    <font>
      <b/>
      <sz val="12"/>
      <color theme="1"/>
      <name val="Arial"/>
      <family val="2"/>
      <scheme val="minor"/>
    </font>
    <font>
      <i/>
      <sz val="10"/>
      <color theme="1"/>
      <name val="Arial"/>
      <family val="2"/>
      <scheme val="minor"/>
    </font>
    <font>
      <sz val="10"/>
      <color theme="1" tint="0.499984740745262"/>
      <name val="Arial"/>
      <family val="2"/>
      <scheme val="minor"/>
    </font>
    <font>
      <b/>
      <sz val="16"/>
      <color theme="9"/>
      <name val="Arial"/>
      <family val="2"/>
      <scheme val="minor"/>
    </font>
    <font>
      <b/>
      <sz val="16"/>
      <color theme="9"/>
      <name val="Arial Black"/>
      <family val="2"/>
      <scheme val="major"/>
    </font>
    <font>
      <sz val="11"/>
      <color theme="1"/>
      <name val="Arial Black"/>
      <family val="2"/>
      <scheme val="major"/>
    </font>
    <font>
      <sz val="11"/>
      <color rgb="FF1D2129"/>
      <name val="Arial"/>
      <family val="2"/>
      <scheme val="minor"/>
    </font>
    <font>
      <u/>
      <sz val="11"/>
      <color indexed="12"/>
      <name val="Arial"/>
      <family val="2"/>
      <scheme val="minor"/>
    </font>
    <font>
      <sz val="11"/>
      <color rgb="FFFF0000"/>
      <name val="Arial"/>
      <family val="2"/>
      <scheme val="minor"/>
    </font>
    <font>
      <b/>
      <sz val="30"/>
      <color theme="9"/>
      <name val="Arial Black"/>
      <family val="2"/>
      <scheme val="major"/>
    </font>
  </fonts>
  <fills count="14">
    <fill>
      <patternFill patternType="none"/>
    </fill>
    <fill>
      <patternFill patternType="gray125"/>
    </fill>
    <fill>
      <patternFill patternType="solid">
        <fgColor theme="0" tint="-4.9989318521683403E-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4" tint="0.59996337778862885"/>
        <bgColor indexed="64"/>
      </patternFill>
    </fill>
    <fill>
      <patternFill patternType="solid">
        <fgColor theme="5" tint="0.59996337778862885"/>
        <bgColor indexed="64"/>
      </patternFill>
    </fill>
    <fill>
      <patternFill patternType="solid">
        <fgColor theme="6" tint="0.59996337778862885"/>
        <bgColor indexed="64"/>
      </patternFill>
    </fill>
    <fill>
      <patternFill patternType="solid">
        <fgColor theme="8" tint="0.59996337778862885"/>
        <bgColor indexed="64"/>
      </patternFill>
    </fill>
    <fill>
      <patternFill patternType="solid">
        <fgColor theme="8" tint="0.79998168889431442"/>
        <bgColor indexed="64"/>
      </patternFill>
    </fill>
    <fill>
      <patternFill patternType="solid">
        <fgColor theme="0" tint="-4.9989318521683403E-2"/>
        <bgColor theme="4"/>
      </patternFill>
    </fill>
    <fill>
      <patternFill patternType="solid">
        <fgColor theme="0" tint="-0.14996795556505021"/>
        <bgColor indexed="64"/>
      </patternFill>
    </fill>
    <fill>
      <patternFill patternType="solid">
        <fgColor rgb="FFFF0000"/>
        <bgColor indexed="64"/>
      </patternFill>
    </fill>
  </fills>
  <borders count="22">
    <border>
      <left/>
      <right/>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14993743705557422"/>
      </left>
      <right style="thin">
        <color theme="0" tint="-0.14993743705557422"/>
      </right>
      <top/>
      <bottom/>
      <diagonal/>
    </border>
    <border>
      <left style="thin">
        <color theme="0" tint="-4.9989318521683403E-2"/>
      </left>
      <right style="thin">
        <color theme="0" tint="-4.9989318521683403E-2"/>
      </right>
      <top style="thin">
        <color theme="0" tint="-4.9989318521683403E-2"/>
      </top>
      <bottom style="thin">
        <color theme="0" tint="-4.9989318521683403E-2"/>
      </bottom>
      <diagonal/>
    </border>
    <border>
      <left/>
      <right/>
      <top style="thin">
        <color theme="5" tint="0.59996337778862885"/>
      </top>
      <bottom style="thin">
        <color theme="5" tint="0.59996337778862885"/>
      </bottom>
      <diagonal/>
    </border>
    <border>
      <left/>
      <right/>
      <top/>
      <bottom style="thin">
        <color theme="4" tint="0.59996337778862885"/>
      </bottom>
      <diagonal/>
    </border>
    <border>
      <left/>
      <right/>
      <top style="thin">
        <color theme="4" tint="0.59996337778862885"/>
      </top>
      <bottom style="thin">
        <color theme="4" tint="0.59996337778862885"/>
      </bottom>
      <diagonal/>
    </border>
    <border>
      <left/>
      <right/>
      <top style="thin">
        <color theme="6" tint="0.59996337778862885"/>
      </top>
      <bottom style="thin">
        <color theme="6" tint="0.59996337778862885"/>
      </bottom>
      <diagonal/>
    </border>
    <border>
      <left/>
      <right/>
      <top style="thin">
        <color theme="8" tint="0.59996337778862885"/>
      </top>
      <bottom style="thin">
        <color theme="8" tint="0.59996337778862885"/>
      </bottom>
      <diagonal/>
    </border>
    <border>
      <left/>
      <right/>
      <top style="thin">
        <color theme="0" tint="-4.9989318521683403E-2"/>
      </top>
      <bottom style="thin">
        <color theme="0" tint="-4.9989318521683403E-2"/>
      </bottom>
      <diagonal/>
    </border>
    <border>
      <left/>
      <right/>
      <top/>
      <bottom style="thin">
        <color theme="0" tint="-4.9989318521683403E-2"/>
      </bottom>
      <diagonal/>
    </border>
    <border>
      <left/>
      <right/>
      <top style="thin">
        <color theme="0" tint="-4.9989318521683403E-2"/>
      </top>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style="thin">
        <color theme="1" tint="0.499984740745262"/>
      </right>
      <top style="thin">
        <color theme="1" tint="0.499984740745262"/>
      </top>
      <bottom/>
      <diagonal/>
    </border>
    <border>
      <left style="thin">
        <color theme="1" tint="0.499984740745262"/>
      </left>
      <right/>
      <top style="thin">
        <color theme="1" tint="0.499984740745262"/>
      </top>
      <bottom/>
      <diagonal/>
    </border>
    <border>
      <left/>
      <right/>
      <top style="thin">
        <color theme="1" tint="0.499984740745262"/>
      </top>
      <bottom/>
      <diagonal/>
    </border>
    <border>
      <left/>
      <right style="thin">
        <color theme="1" tint="0.499984740745262"/>
      </right>
      <top style="thin">
        <color theme="1" tint="0.499984740745262"/>
      </top>
      <bottom/>
      <diagonal/>
    </border>
    <border>
      <left/>
      <right style="thin">
        <color theme="1" tint="0.499984740745262"/>
      </right>
      <top style="thin">
        <color theme="1" tint="0.499984740745262"/>
      </top>
      <bottom style="thin">
        <color theme="1" tint="0.499984740745262"/>
      </bottom>
      <diagonal/>
    </border>
    <border>
      <left style="thin">
        <color theme="1" tint="0.499984740745262"/>
      </left>
      <right/>
      <top style="thin">
        <color theme="1" tint="0.499984740745262"/>
      </top>
      <bottom style="thin">
        <color theme="1" tint="0.499984740745262"/>
      </bottom>
      <diagonal/>
    </border>
    <border>
      <left/>
      <right/>
      <top style="thin">
        <color theme="1" tint="0.499984740745262"/>
      </top>
      <bottom style="thin">
        <color theme="1" tint="0.499984740745262"/>
      </bottom>
      <diagonal/>
    </border>
    <border>
      <left/>
      <right/>
      <top/>
      <bottom style="thin">
        <color theme="1" tint="0.499984740745262"/>
      </bottom>
      <diagonal/>
    </border>
  </borders>
  <cellStyleXfs count="13">
    <xf numFmtId="0" fontId="0" fillId="0" borderId="0"/>
    <xf numFmtId="0" fontId="2" fillId="0" borderId="0" applyNumberFormat="0" applyFill="0" applyBorder="0" applyAlignment="0" applyProtection="0">
      <alignment vertical="top"/>
      <protection locked="0"/>
    </xf>
    <xf numFmtId="9" fontId="4" fillId="0" borderId="0" applyFont="0" applyFill="0" applyBorder="0" applyAlignment="0" applyProtection="0"/>
    <xf numFmtId="0" fontId="13" fillId="0" borderId="0"/>
    <xf numFmtId="164" fontId="4" fillId="0" borderId="2" applyFont="0" applyFill="0" applyAlignment="0" applyProtection="0"/>
    <xf numFmtId="0" fontId="6" fillId="0" borderId="0" applyNumberFormat="0" applyFill="0" applyBorder="0" applyAlignment="0" applyProtection="0"/>
    <xf numFmtId="0" fontId="5" fillId="0" borderId="0" applyNumberFormat="0" applyFill="0" applyAlignment="0" applyProtection="0"/>
    <xf numFmtId="0" fontId="5" fillId="0" borderId="0" applyNumberFormat="0" applyFill="0" applyProtection="0">
      <alignment vertical="top"/>
    </xf>
    <xf numFmtId="0" fontId="4" fillId="0" borderId="0" applyNumberFormat="0" applyFill="0" applyProtection="0">
      <alignment horizontal="right" indent="1"/>
    </xf>
    <xf numFmtId="166" fontId="4" fillId="0" borderId="2">
      <alignment horizontal="center" vertical="center"/>
    </xf>
    <xf numFmtId="165" fontId="4" fillId="0" borderId="1" applyFill="0">
      <alignment horizontal="center" vertical="center"/>
    </xf>
    <xf numFmtId="0" fontId="4" fillId="0" borderId="1" applyFill="0">
      <alignment horizontal="center" vertical="center"/>
    </xf>
    <xf numFmtId="0" fontId="4" fillId="0" borderId="1" applyFill="0">
      <alignment horizontal="left" vertical="center" indent="2"/>
    </xf>
  </cellStyleXfs>
  <cellXfs count="128">
    <xf numFmtId="0" fontId="0" fillId="0" borderId="0" xfId="0"/>
    <xf numFmtId="0" fontId="1" fillId="0" borderId="0" xfId="0" applyFont="1"/>
    <xf numFmtId="0" fontId="0" fillId="0" borderId="0" xfId="0" applyAlignment="1">
      <alignment horizontal="center"/>
    </xf>
    <xf numFmtId="0" fontId="0" fillId="0" borderId="0" xfId="0" applyAlignment="1">
      <alignment horizontal="right" vertical="center"/>
    </xf>
    <xf numFmtId="0" fontId="8" fillId="0" borderId="0" xfId="1" applyFont="1" applyAlignment="1" applyProtection="1"/>
    <xf numFmtId="0" fontId="3" fillId="0" borderId="1" xfId="0" applyFont="1" applyBorder="1" applyAlignment="1">
      <alignment horizontal="center" vertical="center"/>
    </xf>
    <xf numFmtId="0" fontId="3" fillId="2" borderId="1" xfId="0" applyFont="1" applyFill="1" applyBorder="1" applyAlignment="1">
      <alignment horizontal="center" vertical="center"/>
    </xf>
    <xf numFmtId="0" fontId="1" fillId="0" borderId="0" xfId="0" applyFont="1" applyAlignment="1">
      <alignment vertical="top"/>
    </xf>
    <xf numFmtId="0" fontId="9" fillId="0" borderId="0" xfId="0" applyFont="1" applyAlignment="1">
      <alignment horizontal="left" vertical="center"/>
    </xf>
    <xf numFmtId="0" fontId="10" fillId="0" borderId="0" xfId="0" applyFont="1" applyAlignment="1">
      <alignment horizontal="left" vertical="center"/>
    </xf>
    <xf numFmtId="0" fontId="12" fillId="0" borderId="0" xfId="0" applyFont="1"/>
    <xf numFmtId="0" fontId="1" fillId="0" borderId="0" xfId="0" applyFont="1" applyAlignment="1">
      <alignment horizontal="left" vertical="top"/>
    </xf>
    <xf numFmtId="0" fontId="11" fillId="0" borderId="0" xfId="0" applyFont="1" applyAlignment="1">
      <alignment vertical="top"/>
    </xf>
    <xf numFmtId="0" fontId="13" fillId="0" borderId="0" xfId="3"/>
    <xf numFmtId="0" fontId="13" fillId="0" borderId="0" xfId="3" applyAlignment="1">
      <alignment wrapText="1"/>
    </xf>
    <xf numFmtId="0" fontId="13" fillId="0" borderId="0" xfId="0" applyFont="1" applyAlignment="1">
      <alignment horizontal="center"/>
    </xf>
    <xf numFmtId="0" fontId="7" fillId="0" borderId="0" xfId="0" applyFont="1"/>
    <xf numFmtId="0" fontId="3" fillId="0" borderId="0" xfId="0" applyFont="1" applyAlignment="1">
      <alignment horizontal="center" vertical="center"/>
    </xf>
    <xf numFmtId="0" fontId="15" fillId="0" borderId="0" xfId="0" applyFont="1"/>
    <xf numFmtId="0" fontId="14" fillId="0" borderId="0" xfId="0" applyFont="1"/>
    <xf numFmtId="0" fontId="14" fillId="0" borderId="0" xfId="0" applyFont="1" applyAlignment="1">
      <alignment horizontal="center"/>
    </xf>
    <xf numFmtId="0" fontId="14" fillId="0" borderId="0" xfId="0" applyFont="1" applyAlignment="1">
      <alignment horizontal="center" vertical="center"/>
    </xf>
    <xf numFmtId="0" fontId="16" fillId="0" borderId="0" xfId="0" applyFont="1"/>
    <xf numFmtId="0" fontId="16" fillId="0" borderId="0" xfId="0" applyFont="1" applyAlignment="1">
      <alignment horizontal="center"/>
    </xf>
    <xf numFmtId="0" fontId="17" fillId="0" borderId="0" xfId="0" applyFont="1"/>
    <xf numFmtId="0" fontId="4" fillId="0" borderId="0" xfId="0" applyFont="1"/>
    <xf numFmtId="0" fontId="4" fillId="0" borderId="0" xfId="8">
      <alignment horizontal="right" indent="1"/>
    </xf>
    <xf numFmtId="0" fontId="4" fillId="0" borderId="0" xfId="0" applyFont="1" applyAlignment="1">
      <alignment horizontal="center"/>
    </xf>
    <xf numFmtId="0" fontId="4" fillId="0" borderId="0" xfId="0" applyFont="1" applyAlignment="1">
      <alignment horizontal="left" indent="1"/>
    </xf>
    <xf numFmtId="168" fontId="20" fillId="12" borderId="20" xfId="0" applyNumberFormat="1" applyFont="1" applyFill="1" applyBorder="1" applyAlignment="1">
      <alignment horizontal="center" vertical="center"/>
    </xf>
    <xf numFmtId="168" fontId="20" fillId="12" borderId="18" xfId="0" applyNumberFormat="1" applyFont="1" applyFill="1" applyBorder="1" applyAlignment="1">
      <alignment horizontal="center" vertical="center"/>
    </xf>
    <xf numFmtId="168" fontId="20" fillId="12" borderId="19" xfId="0" applyNumberFormat="1" applyFont="1" applyFill="1" applyBorder="1" applyAlignment="1">
      <alignment horizontal="center" vertical="center"/>
    </xf>
    <xf numFmtId="0" fontId="21" fillId="2" borderId="17" xfId="0" applyFont="1" applyFill="1" applyBorder="1" applyAlignment="1">
      <alignment horizontal="center" vertical="center" shrinkToFit="1"/>
    </xf>
    <xf numFmtId="0" fontId="21" fillId="2" borderId="14" xfId="0" applyFont="1" applyFill="1" applyBorder="1" applyAlignment="1">
      <alignment horizontal="center" vertical="center" shrinkToFit="1"/>
    </xf>
    <xf numFmtId="0" fontId="21" fillId="2" borderId="15" xfId="0" applyFont="1" applyFill="1" applyBorder="1" applyAlignment="1">
      <alignment horizontal="center" vertical="center" shrinkToFit="1"/>
    </xf>
    <xf numFmtId="0" fontId="18" fillId="0" borderId="0" xfId="0" applyFont="1"/>
    <xf numFmtId="0" fontId="18" fillId="0" borderId="0" xfId="0" applyFont="1" applyAlignment="1">
      <alignment wrapText="1"/>
    </xf>
    <xf numFmtId="0" fontId="4" fillId="0" borderId="3" xfId="0" applyFont="1" applyBorder="1" applyAlignment="1">
      <alignment vertical="center"/>
    </xf>
    <xf numFmtId="0" fontId="22" fillId="6" borderId="0" xfId="0" applyFont="1" applyFill="1" applyAlignment="1">
      <alignment horizontal="left" vertical="center" indent="1"/>
    </xf>
    <xf numFmtId="0" fontId="18" fillId="6" borderId="0" xfId="11" applyFont="1" applyFill="1" applyBorder="1" applyAlignment="1">
      <alignment vertical="center"/>
    </xf>
    <xf numFmtId="9" fontId="1" fillId="6" borderId="0" xfId="2" applyFont="1" applyFill="1" applyBorder="1" applyAlignment="1">
      <alignment horizontal="center" vertical="center"/>
    </xf>
    <xf numFmtId="165" fontId="18" fillId="6" borderId="0" xfId="0" applyNumberFormat="1" applyFont="1" applyFill="1" applyAlignment="1">
      <alignment horizontal="center" vertical="center"/>
    </xf>
    <xf numFmtId="165" fontId="1" fillId="6" borderId="0" xfId="0" applyNumberFormat="1" applyFont="1" applyFill="1" applyAlignment="1">
      <alignment horizontal="center" vertical="center"/>
    </xf>
    <xf numFmtId="0" fontId="4" fillId="0" borderId="12" xfId="0" applyFont="1" applyBorder="1" applyAlignment="1">
      <alignment vertical="center"/>
    </xf>
    <xf numFmtId="0" fontId="4" fillId="0" borderId="0" xfId="0" applyFont="1" applyAlignment="1">
      <alignment vertical="center"/>
    </xf>
    <xf numFmtId="0" fontId="18" fillId="3" borderId="6" xfId="12" applyFont="1" applyFill="1" applyBorder="1">
      <alignment horizontal="left" vertical="center" indent="2"/>
    </xf>
    <xf numFmtId="0" fontId="18" fillId="3" borderId="6" xfId="11" applyFont="1" applyFill="1" applyBorder="1" applyAlignment="1">
      <alignment vertical="center"/>
    </xf>
    <xf numFmtId="9" fontId="1" fillId="3" borderId="6" xfId="2" applyFont="1" applyFill="1" applyBorder="1" applyAlignment="1">
      <alignment horizontal="center" vertical="center"/>
    </xf>
    <xf numFmtId="165" fontId="18" fillId="3" borderId="6" xfId="10" applyFont="1" applyFill="1" applyBorder="1">
      <alignment horizontal="center" vertical="center"/>
    </xf>
    <xf numFmtId="0" fontId="4" fillId="0" borderId="4" xfId="0" applyFont="1" applyBorder="1" applyAlignment="1">
      <alignment vertical="center"/>
    </xf>
    <xf numFmtId="0" fontId="18" fillId="3" borderId="7" xfId="12" applyFont="1" applyFill="1" applyBorder="1">
      <alignment horizontal="left" vertical="center" indent="2"/>
    </xf>
    <xf numFmtId="0" fontId="18" fillId="3" borderId="7" xfId="11" applyFont="1" applyFill="1" applyBorder="1" applyAlignment="1">
      <alignment vertical="center"/>
    </xf>
    <xf numFmtId="9" fontId="1" fillId="3" borderId="7" xfId="2" applyFont="1" applyFill="1" applyBorder="1" applyAlignment="1">
      <alignment horizontal="center" vertical="center"/>
    </xf>
    <xf numFmtId="165" fontId="18" fillId="3" borderId="7" xfId="10" applyFont="1" applyFill="1" applyBorder="1">
      <alignment horizontal="center" vertical="center"/>
    </xf>
    <xf numFmtId="0" fontId="4" fillId="0" borderId="4" xfId="0" applyFont="1" applyBorder="1" applyAlignment="1">
      <alignment horizontal="right" vertical="center"/>
    </xf>
    <xf numFmtId="0" fontId="22" fillId="7" borderId="0" xfId="0" applyFont="1" applyFill="1" applyAlignment="1">
      <alignment horizontal="left" vertical="center" indent="1"/>
    </xf>
    <xf numFmtId="0" fontId="18" fillId="7" borderId="0" xfId="11" applyFont="1" applyFill="1" applyBorder="1" applyAlignment="1">
      <alignment vertical="center"/>
    </xf>
    <xf numFmtId="9" fontId="1" fillId="7" borderId="0" xfId="2" applyFont="1" applyFill="1" applyBorder="1" applyAlignment="1">
      <alignment horizontal="center" vertical="center"/>
    </xf>
    <xf numFmtId="165" fontId="18" fillId="7" borderId="0" xfId="0" applyNumberFormat="1" applyFont="1" applyFill="1" applyAlignment="1">
      <alignment horizontal="center" vertical="center"/>
    </xf>
    <xf numFmtId="165" fontId="1" fillId="7" borderId="0" xfId="0" applyNumberFormat="1" applyFont="1" applyFill="1" applyAlignment="1">
      <alignment horizontal="center" vertical="center"/>
    </xf>
    <xf numFmtId="0" fontId="18" fillId="4" borderId="5" xfId="12" applyFont="1" applyFill="1" applyBorder="1">
      <alignment horizontal="left" vertical="center" indent="2"/>
    </xf>
    <xf numFmtId="0" fontId="18" fillId="4" borderId="5" xfId="11" applyFont="1" applyFill="1" applyBorder="1" applyAlignment="1">
      <alignment vertical="center"/>
    </xf>
    <xf numFmtId="9" fontId="1" fillId="4" borderId="5" xfId="2" applyFont="1" applyFill="1" applyBorder="1" applyAlignment="1">
      <alignment horizontal="center" vertical="center"/>
    </xf>
    <xf numFmtId="165" fontId="18" fillId="4" borderId="5" xfId="10" applyFont="1" applyFill="1" applyBorder="1">
      <alignment horizontal="center" vertical="center"/>
    </xf>
    <xf numFmtId="0" fontId="22" fillId="8" borderId="0" xfId="0" applyFont="1" applyFill="1" applyAlignment="1">
      <alignment horizontal="left" vertical="center" indent="1"/>
    </xf>
    <xf numFmtId="0" fontId="18" fillId="8" borderId="0" xfId="11" applyFont="1" applyFill="1" applyBorder="1" applyAlignment="1">
      <alignment vertical="center"/>
    </xf>
    <xf numFmtId="9" fontId="1" fillId="8" borderId="0" xfId="2" applyFont="1" applyFill="1" applyBorder="1" applyAlignment="1">
      <alignment horizontal="center" vertical="center"/>
    </xf>
    <xf numFmtId="165" fontId="18" fillId="8" borderId="0" xfId="0" applyNumberFormat="1" applyFont="1" applyFill="1" applyAlignment="1">
      <alignment horizontal="center" vertical="center"/>
    </xf>
    <xf numFmtId="165" fontId="1" fillId="8" borderId="0" xfId="0" applyNumberFormat="1" applyFont="1" applyFill="1" applyAlignment="1">
      <alignment horizontal="center" vertical="center"/>
    </xf>
    <xf numFmtId="0" fontId="4" fillId="0" borderId="11" xfId="0" applyFont="1" applyBorder="1" applyAlignment="1">
      <alignment vertical="center"/>
    </xf>
    <xf numFmtId="0" fontId="18" fillId="5" borderId="8" xfId="12" applyFont="1" applyFill="1" applyBorder="1">
      <alignment horizontal="left" vertical="center" indent="2"/>
    </xf>
    <xf numFmtId="0" fontId="18" fillId="5" borderId="8" xfId="11" applyFont="1" applyFill="1" applyBorder="1" applyAlignment="1">
      <alignment vertical="center"/>
    </xf>
    <xf numFmtId="9" fontId="1" fillId="5" borderId="8" xfId="2" applyFont="1" applyFill="1" applyBorder="1" applyAlignment="1">
      <alignment horizontal="center" vertical="center"/>
    </xf>
    <xf numFmtId="165" fontId="18" fillId="5" borderId="8" xfId="10" applyFont="1" applyFill="1" applyBorder="1">
      <alignment horizontal="center" vertical="center"/>
    </xf>
    <xf numFmtId="0" fontId="22" fillId="9" borderId="0" xfId="0" applyFont="1" applyFill="1" applyAlignment="1">
      <alignment horizontal="left" vertical="center" indent="1"/>
    </xf>
    <xf numFmtId="0" fontId="18" fillId="9" borderId="0" xfId="11" applyFont="1" applyFill="1" applyBorder="1" applyAlignment="1">
      <alignment vertical="center"/>
    </xf>
    <xf numFmtId="9" fontId="1" fillId="9" borderId="0" xfId="2" applyFont="1" applyFill="1" applyBorder="1" applyAlignment="1">
      <alignment horizontal="center" vertical="center"/>
    </xf>
    <xf numFmtId="165" fontId="18" fillId="9" borderId="0" xfId="0" applyNumberFormat="1" applyFont="1" applyFill="1" applyAlignment="1">
      <alignment horizontal="center" vertical="center"/>
    </xf>
    <xf numFmtId="165" fontId="1" fillId="9" borderId="0" xfId="0" applyNumberFormat="1" applyFont="1" applyFill="1" applyAlignment="1">
      <alignment horizontal="center" vertical="center"/>
    </xf>
    <xf numFmtId="0" fontId="4" fillId="0" borderId="10" xfId="0" applyFont="1" applyBorder="1" applyAlignment="1">
      <alignment vertical="center"/>
    </xf>
    <xf numFmtId="0" fontId="18" fillId="10" borderId="9" xfId="12" applyFont="1" applyFill="1" applyBorder="1">
      <alignment horizontal="left" vertical="center" indent="2"/>
    </xf>
    <xf numFmtId="0" fontId="18" fillId="10" borderId="9" xfId="11" applyFont="1" applyFill="1" applyBorder="1" applyAlignment="1">
      <alignment vertical="center"/>
    </xf>
    <xf numFmtId="9" fontId="1" fillId="10" borderId="9" xfId="2" applyFont="1" applyFill="1" applyBorder="1" applyAlignment="1">
      <alignment horizontal="center" vertical="center"/>
    </xf>
    <xf numFmtId="165" fontId="18" fillId="10" borderId="9" xfId="10" applyFont="1" applyFill="1" applyBorder="1">
      <alignment horizontal="center" vertical="center"/>
    </xf>
    <xf numFmtId="0" fontId="18" fillId="0" borderId="0" xfId="12" applyFont="1" applyBorder="1">
      <alignment horizontal="left" vertical="center" indent="2"/>
    </xf>
    <xf numFmtId="0" fontId="18" fillId="0" borderId="0" xfId="11" applyFont="1" applyBorder="1" applyAlignment="1">
      <alignment vertical="center"/>
    </xf>
    <xf numFmtId="9" fontId="1" fillId="0" borderId="0" xfId="2" applyFont="1" applyBorder="1" applyAlignment="1">
      <alignment horizontal="center" vertical="center"/>
    </xf>
    <xf numFmtId="165" fontId="18" fillId="0" borderId="0" xfId="10" applyFont="1" applyBorder="1">
      <alignment horizontal="center" vertical="center"/>
    </xf>
    <xf numFmtId="0" fontId="23" fillId="2" borderId="0" xfId="0" applyFont="1" applyFill="1" applyAlignment="1">
      <alignment horizontal="left" vertical="center" indent="1"/>
    </xf>
    <xf numFmtId="0" fontId="23" fillId="2" borderId="0" xfId="0" applyFont="1" applyFill="1" applyAlignment="1">
      <alignment vertical="center"/>
    </xf>
    <xf numFmtId="9" fontId="1" fillId="2" borderId="0" xfId="2" applyFont="1" applyFill="1" applyBorder="1" applyAlignment="1">
      <alignment horizontal="center" vertical="center"/>
    </xf>
    <xf numFmtId="165" fontId="24" fillId="2" borderId="0" xfId="0" applyNumberFormat="1" applyFont="1" applyFill="1" applyAlignment="1">
      <alignment horizontal="left" vertical="center"/>
    </xf>
    <xf numFmtId="165" fontId="1" fillId="2" borderId="0" xfId="0" applyNumberFormat="1" applyFont="1" applyFill="1" applyAlignment="1">
      <alignment horizontal="center" vertical="center"/>
    </xf>
    <xf numFmtId="0" fontId="4" fillId="2" borderId="0" xfId="0" applyFont="1" applyFill="1" applyAlignment="1">
      <alignment vertical="center"/>
    </xf>
    <xf numFmtId="0" fontId="25" fillId="0" borderId="0" xfId="6" applyFont="1" applyAlignment="1">
      <alignment horizontal="left" vertical="center" indent="1"/>
    </xf>
    <xf numFmtId="0" fontId="25" fillId="0" borderId="0" xfId="7" applyFont="1" applyAlignment="1">
      <alignment horizontal="left" vertical="center" indent="1"/>
    </xf>
    <xf numFmtId="0" fontId="9" fillId="0" borderId="0" xfId="0" applyFont="1" applyAlignment="1">
      <alignment horizontal="left" vertical="center" indent="1"/>
    </xf>
    <xf numFmtId="0" fontId="3" fillId="0" borderId="0" xfId="0" applyFont="1" applyAlignment="1">
      <alignment horizontal="left" vertical="top" indent="1"/>
    </xf>
    <xf numFmtId="0" fontId="25" fillId="0" borderId="0" xfId="0" applyFont="1" applyAlignment="1">
      <alignment horizontal="left" vertical="center" indent="1"/>
    </xf>
    <xf numFmtId="0" fontId="28" fillId="0" borderId="0" xfId="0" applyFont="1" applyAlignment="1">
      <alignment horizontal="left" vertical="top" wrapText="1" indent="1"/>
    </xf>
    <xf numFmtId="0" fontId="0" fillId="0" borderId="0" xfId="0" applyAlignment="1">
      <alignment horizontal="left" vertical="top" wrapText="1" indent="1"/>
    </xf>
    <xf numFmtId="0" fontId="29" fillId="0" borderId="0" xfId="1" applyFont="1" applyAlignment="1" applyProtection="1">
      <alignment horizontal="left" vertical="top" indent="1"/>
    </xf>
    <xf numFmtId="0" fontId="1" fillId="0" borderId="0" xfId="0" applyFont="1" applyAlignment="1">
      <alignment horizontal="left" vertical="top" indent="1"/>
    </xf>
    <xf numFmtId="0" fontId="26" fillId="0" borderId="0" xfId="0" applyFont="1" applyAlignment="1">
      <alignment horizontal="left"/>
    </xf>
    <xf numFmtId="0" fontId="27" fillId="0" borderId="0" xfId="0" applyFont="1"/>
    <xf numFmtId="0" fontId="25" fillId="0" borderId="0" xfId="8" applyFont="1" applyAlignment="1">
      <alignment horizontal="left"/>
    </xf>
    <xf numFmtId="0" fontId="13" fillId="0" borderId="0" xfId="3" applyAlignment="1">
      <alignment wrapText="1"/>
    </xf>
    <xf numFmtId="0" fontId="19" fillId="11" borderId="16" xfId="0" applyFont="1" applyFill="1" applyBorder="1" applyAlignment="1">
      <alignment horizontal="left" vertical="center" indent="1"/>
    </xf>
    <xf numFmtId="0" fontId="4" fillId="2" borderId="21" xfId="0" applyFont="1" applyFill="1" applyBorder="1" applyAlignment="1">
      <alignment horizontal="left" indent="1"/>
    </xf>
    <xf numFmtId="0" fontId="19" fillId="11" borderId="16" xfId="0" applyFont="1" applyFill="1" applyBorder="1" applyAlignment="1">
      <alignment vertical="center"/>
    </xf>
    <xf numFmtId="0" fontId="4" fillId="2" borderId="21" xfId="0" applyFont="1" applyFill="1" applyBorder="1"/>
    <xf numFmtId="0" fontId="19" fillId="11" borderId="16" xfId="0" applyFont="1" applyFill="1" applyBorder="1" applyAlignment="1">
      <alignment horizontal="center" vertical="center"/>
    </xf>
    <xf numFmtId="0" fontId="26" fillId="0" borderId="0" xfId="0" applyFont="1" applyAlignment="1">
      <alignment horizontal="left"/>
    </xf>
    <xf numFmtId="0" fontId="27" fillId="0" borderId="0" xfId="0" applyFont="1"/>
    <xf numFmtId="166" fontId="26" fillId="0" borderId="0" xfId="9" applyFont="1" applyBorder="1" applyAlignment="1">
      <alignment horizontal="left"/>
    </xf>
    <xf numFmtId="0" fontId="25" fillId="0" borderId="0" xfId="8" applyFont="1" applyAlignment="1">
      <alignment horizontal="left"/>
    </xf>
    <xf numFmtId="0" fontId="4" fillId="0" borderId="0" xfId="0" applyFont="1"/>
    <xf numFmtId="167" fontId="18" fillId="2" borderId="13" xfId="0" applyNumberFormat="1" applyFont="1" applyFill="1" applyBorder="1" applyAlignment="1">
      <alignment horizontal="center" vertical="center" wrapText="1"/>
    </xf>
    <xf numFmtId="167" fontId="18" fillId="2" borderId="19" xfId="0" applyNumberFormat="1" applyFont="1" applyFill="1" applyBorder="1" applyAlignment="1">
      <alignment horizontal="center" vertical="center" wrapText="1"/>
    </xf>
    <xf numFmtId="167" fontId="18" fillId="2" borderId="18" xfId="0" applyNumberFormat="1" applyFont="1" applyFill="1" applyBorder="1" applyAlignment="1">
      <alignment horizontal="center" vertical="center" wrapText="1"/>
    </xf>
    <xf numFmtId="0" fontId="30" fillId="0" borderId="0" xfId="0" applyFont="1" applyAlignment="1">
      <alignment horizontal="center" vertical="center"/>
    </xf>
    <xf numFmtId="0" fontId="30" fillId="0" borderId="1" xfId="0" applyFont="1" applyBorder="1" applyAlignment="1">
      <alignment horizontal="center" vertical="center"/>
    </xf>
    <xf numFmtId="0" fontId="30" fillId="0" borderId="4" xfId="0" applyFont="1" applyBorder="1" applyAlignment="1">
      <alignment vertical="center"/>
    </xf>
    <xf numFmtId="0" fontId="18" fillId="13" borderId="9" xfId="12" applyFont="1" applyFill="1" applyBorder="1">
      <alignment horizontal="left" vertical="center" indent="2"/>
    </xf>
    <xf numFmtId="0" fontId="18" fillId="13" borderId="9" xfId="11" applyFont="1" applyFill="1" applyBorder="1" applyAlignment="1">
      <alignment vertical="center"/>
    </xf>
    <xf numFmtId="9" fontId="18" fillId="13" borderId="9" xfId="2" applyFont="1" applyFill="1" applyBorder="1" applyAlignment="1">
      <alignment horizontal="center" vertical="center"/>
    </xf>
    <xf numFmtId="165" fontId="18" fillId="13" borderId="9" xfId="10" applyFont="1" applyFill="1" applyBorder="1">
      <alignment horizontal="center" vertical="center"/>
    </xf>
    <xf numFmtId="0" fontId="31" fillId="0" borderId="0" xfId="5" applyFont="1" applyAlignment="1">
      <alignment horizontal="left"/>
    </xf>
  </cellXfs>
  <cellStyles count="13">
    <cellStyle name="Comma" xfId="4" builtinId="3" customBuiltin="1"/>
    <cellStyle name="Date" xfId="10" xr:uid="{229918B6-DD13-4F5A-97B9-305F7E002AA3}"/>
    <cellStyle name="Heading 1" xfId="6" builtinId="16" customBuiltin="1"/>
    <cellStyle name="Heading 2" xfId="7" builtinId="17" customBuiltin="1"/>
    <cellStyle name="Heading 3" xfId="8" builtinId="18" customBuiltin="1"/>
    <cellStyle name="Hyperlink" xfId="1" builtinId="8" customBuiltin="1"/>
    <cellStyle name="Name" xfId="11" xr:uid="{B2D3C1EE-6B41-4801-AAFC-C2274E49E503}"/>
    <cellStyle name="Normal" xfId="0" builtinId="0"/>
    <cellStyle name="Per cent" xfId="2" builtinId="5"/>
    <cellStyle name="Project Start" xfId="9" xr:uid="{8EB8A09A-C31C-40A3-B2C1-9449520178B8}"/>
    <cellStyle name="Task" xfId="12" xr:uid="{6391D789-272B-4DD2-9BF3-2CDCF610FA41}"/>
    <cellStyle name="Title" xfId="5" builtinId="15" customBuiltin="1"/>
    <cellStyle name="zHiddenText" xfId="3" xr:uid="{26E66EE6-E33F-4D77-BAE4-0FB4F5BBF673}"/>
  </cellStyles>
  <dxfs count="18">
    <dxf>
      <fill>
        <patternFill>
          <bgColor theme="8"/>
        </patternFill>
      </fill>
      <border>
        <left/>
        <right/>
      </border>
    </dxf>
    <dxf>
      <fill>
        <patternFill>
          <bgColor theme="8" tint="0.59996337778862885"/>
        </patternFill>
      </fill>
      <border>
        <left/>
        <right/>
      </border>
    </dxf>
    <dxf>
      <fill>
        <patternFill>
          <bgColor theme="6" tint="0.39994506668294322"/>
        </patternFill>
      </fill>
      <border>
        <left/>
        <right/>
        <top style="thin">
          <color theme="0" tint="-4.9989318521683403E-2"/>
        </top>
        <bottom style="thin">
          <color theme="0" tint="-4.9989318521683403E-2"/>
        </bottom>
      </border>
    </dxf>
    <dxf>
      <fill>
        <patternFill>
          <bgColor theme="6" tint="0.79998168889431442"/>
        </patternFill>
      </fill>
      <border>
        <top style="thin">
          <color theme="0" tint="-4.9989318521683403E-2"/>
        </top>
        <bottom style="thin">
          <color theme="0" tint="-4.9989318521683403E-2"/>
        </bottom>
      </border>
    </dxf>
    <dxf>
      <fill>
        <patternFill>
          <bgColor theme="5" tint="0.39994506668294322"/>
        </patternFill>
      </fill>
      <border>
        <left/>
        <right/>
        <top style="thin">
          <color theme="0" tint="-4.9989318521683403E-2"/>
        </top>
        <bottom style="thin">
          <color theme="0" tint="-4.9989318521683403E-2"/>
        </bottom>
      </border>
    </dxf>
    <dxf>
      <fill>
        <patternFill>
          <bgColor theme="5" tint="0.79998168889431442"/>
        </patternFill>
      </fill>
    </dxf>
    <dxf>
      <fill>
        <patternFill>
          <bgColor theme="4" tint="0.39994506668294322"/>
        </patternFill>
      </fill>
      <border>
        <left/>
        <right/>
        <top style="thin">
          <color theme="0" tint="-4.9989318521683403E-2"/>
        </top>
        <bottom style="thin">
          <color theme="0" tint="-4.9989318521683403E-2"/>
        </bottom>
      </border>
    </dxf>
    <dxf>
      <fill>
        <patternFill>
          <bgColor theme="4" tint="0.79998168889431442"/>
        </patternFill>
      </fill>
      <border>
        <top style="thin">
          <color theme="0" tint="-4.9989318521683403E-2"/>
        </top>
        <bottom style="thin">
          <color theme="0" tint="-4.9989318521683403E-2"/>
        </bottom>
      </border>
    </dxf>
    <dxf>
      <border>
        <left style="thin">
          <color theme="5"/>
        </left>
        <right style="thin">
          <color theme="5"/>
        </right>
        <vertical/>
        <horizontal/>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ToDoList" pivot="0" count="9" xr9:uid="{00000000-0011-0000-FFFF-FFFF00000000}">
      <tableStyleElement type="wholeTable" dxfId="17"/>
      <tableStyleElement type="headerRow" dxfId="16"/>
      <tableStyleElement type="totalRow" dxfId="15"/>
      <tableStyleElement type="firstColumn" dxfId="14"/>
      <tableStyleElement type="lastColumn" dxfId="13"/>
      <tableStyleElement type="firstRowStripe" dxfId="12"/>
      <tableStyleElement type="secondRowStripe" dxfId="11"/>
      <tableStyleElement type="firstColumnStripe" dxfId="10"/>
      <tableStyleElement type="secondColumnStripe" dxfId="9"/>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215881"/>
      <color rgb="FF42648A"/>
      <color rgb="FF969696"/>
      <color rgb="FFC0C0C0"/>
      <color rgb="FF427FC2"/>
      <color rgb="FF44678E"/>
      <color rgb="FF4A6F9C"/>
      <color rgb="FF3969AD"/>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vertex42.com/ExcelTemplates/simple-gantt-chart.html?utm_source=ms&amp;utm_medium=file&amp;utm_campaign=office&amp;utm_content=logo" TargetMode="Externa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95250</xdr:rowOff>
    </xdr:from>
    <xdr:to>
      <xdr:col>0</xdr:col>
      <xdr:colOff>1905000</xdr:colOff>
      <xdr:row>0</xdr:row>
      <xdr:rowOff>523875</xdr:rowOff>
    </xdr:to>
    <xdr:pic>
      <xdr:nvPicPr>
        <xdr:cNvPr id="2" name="Picture 1" descr="Vertex42 logo">
          <a:hlinkClick xmlns:r="http://schemas.openxmlformats.org/officeDocument/2006/relationships" r:id="rId1"/>
          <a:extLst>
            <a:ext uri="{FF2B5EF4-FFF2-40B4-BE49-F238E27FC236}">
              <a16:creationId xmlns:a16="http://schemas.microsoft.com/office/drawing/2014/main" id="{F8638EF3-2DAE-40BC-A45A-2B8C536FAB0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0500" y="95250"/>
          <a:ext cx="1905000" cy="428625"/>
        </a:xfrm>
        <a:prstGeom prst="rect">
          <a:avLst/>
        </a:prstGeom>
      </xdr:spPr>
    </xdr:pic>
    <xdr:clientData/>
  </xdr:twoCellAnchor>
</xdr:wsDr>
</file>

<file path=xl/theme/theme1.xml><?xml version="1.0" encoding="utf-8"?>
<a:theme xmlns:a="http://schemas.openxmlformats.org/drawingml/2006/main" name="Office Theme">
  <a:themeElements>
    <a:clrScheme name="TM16400962">
      <a:dk1>
        <a:srgbClr val="000000"/>
      </a:dk1>
      <a:lt1>
        <a:srgbClr val="FFFFFF"/>
      </a:lt1>
      <a:dk2>
        <a:srgbClr val="0E2841"/>
      </a:dk2>
      <a:lt2>
        <a:srgbClr val="E8E8E8"/>
      </a:lt2>
      <a:accent1>
        <a:srgbClr val="6528F7"/>
      </a:accent1>
      <a:accent2>
        <a:srgbClr val="D800A6"/>
      </a:accent2>
      <a:accent3>
        <a:srgbClr val="7ECA9C"/>
      </a:accent3>
      <a:accent4>
        <a:srgbClr val="00ABB3"/>
      </a:accent4>
      <a:accent5>
        <a:srgbClr val="FFE227"/>
      </a:accent5>
      <a:accent6>
        <a:srgbClr val="1363DF"/>
      </a:accent6>
      <a:hlink>
        <a:srgbClr val="467886"/>
      </a:hlink>
      <a:folHlink>
        <a:srgbClr val="96607D"/>
      </a:folHlink>
    </a:clrScheme>
    <a:fontScheme name="Custom 32">
      <a:majorFont>
        <a:latin typeface="Arial Black"/>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www.vertex42.com/ExcelTemplates/simple-gantt-chart.html?utm_source=ms&amp;utm_medium=file&amp;utm_campaign=office&amp;utm_content=text" TargetMode="External"/><Relationship Id="rId2" Type="http://schemas.openxmlformats.org/officeDocument/2006/relationships/hyperlink" Target="https://www.vertex42.com/ExcelTemplates/simple-gantt-chart.html?utm_source=ms&amp;utm_medium=file&amp;utm_campaign=office&amp;utm_content=help" TargetMode="External"/><Relationship Id="rId1" Type="http://schemas.openxmlformats.org/officeDocument/2006/relationships/hyperlink" Target="https://www.vertex42.com/ExcelTemplates/excel-project-management.html?utm_source=ms&amp;utm_medium=file&amp;utm_campaign=office&amp;utm_content=text" TargetMode="External"/><Relationship Id="rId5" Type="http://schemas.openxmlformats.org/officeDocument/2006/relationships/drawing" Target="../drawings/drawing1.xml"/><Relationship Id="rId4"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BL36"/>
  <sheetViews>
    <sheetView showGridLines="0" tabSelected="1" showRuler="0" topLeftCell="A7" zoomScale="54" zoomScaleNormal="100" zoomScalePageLayoutView="70" workbookViewId="0">
      <selection activeCell="AV24" sqref="AV24"/>
    </sheetView>
  </sheetViews>
  <sheetFormatPr defaultColWidth="8.69921875" defaultRowHeight="30" customHeight="1" x14ac:dyDescent="0.25"/>
  <cols>
    <col min="1" max="1" width="2.69921875" style="13" customWidth="1"/>
    <col min="2" max="2" width="22.69921875" customWidth="1"/>
    <col min="3" max="3" width="16.69921875" customWidth="1"/>
    <col min="4" max="4" width="10.69921875" customWidth="1"/>
    <col min="5" max="5" width="10.69921875" style="2" customWidth="1"/>
    <col min="6" max="6" width="10.69921875" customWidth="1"/>
    <col min="7" max="7" width="2.69921875" customWidth="1"/>
    <col min="8" max="8" width="6" hidden="1" customWidth="1"/>
    <col min="9" max="65" width="2.69921875" customWidth="1"/>
  </cols>
  <sheetData>
    <row r="1" spans="1:64" ht="90" customHeight="1" x14ac:dyDescent="1.05">
      <c r="A1" s="14"/>
      <c r="B1" s="127" t="s">
        <v>50</v>
      </c>
      <c r="C1" s="18"/>
      <c r="D1" s="19"/>
      <c r="E1" s="20"/>
      <c r="F1" s="21"/>
      <c r="H1" s="1"/>
      <c r="I1" s="115" t="s">
        <v>20</v>
      </c>
      <c r="J1" s="116"/>
      <c r="K1" s="116"/>
      <c r="L1" s="116"/>
      <c r="M1" s="116"/>
      <c r="N1" s="116"/>
      <c r="O1" s="116"/>
      <c r="P1" s="24"/>
      <c r="Q1" s="114">
        <v>46147</v>
      </c>
      <c r="R1" s="113"/>
      <c r="S1" s="113"/>
      <c r="T1" s="113"/>
      <c r="U1" s="113"/>
      <c r="V1" s="113"/>
      <c r="W1" s="113"/>
      <c r="X1" s="113"/>
      <c r="Y1" s="113"/>
      <c r="Z1" s="113"/>
    </row>
    <row r="2" spans="1:64" ht="30" customHeight="1" x14ac:dyDescent="0.6">
      <c r="B2" s="94" t="s">
        <v>51</v>
      </c>
      <c r="C2" s="95"/>
      <c r="D2" s="22"/>
      <c r="E2" s="23"/>
      <c r="F2" s="22"/>
      <c r="I2" s="115" t="s">
        <v>21</v>
      </c>
      <c r="J2" s="116"/>
      <c r="K2" s="116"/>
      <c r="L2" s="116"/>
      <c r="M2" s="116"/>
      <c r="N2" s="116"/>
      <c r="O2" s="116"/>
      <c r="P2" s="24"/>
      <c r="Q2" s="112">
        <v>1</v>
      </c>
      <c r="R2" s="113"/>
      <c r="S2" s="113"/>
      <c r="T2" s="113"/>
      <c r="U2" s="113"/>
      <c r="V2" s="113"/>
      <c r="W2" s="113"/>
      <c r="X2" s="113"/>
      <c r="Y2" s="113"/>
      <c r="Z2" s="113"/>
    </row>
    <row r="3" spans="1:64" ht="30" customHeight="1" x14ac:dyDescent="0.6">
      <c r="A3" s="94"/>
      <c r="B3" s="94" t="s">
        <v>52</v>
      </c>
      <c r="C3" s="95"/>
      <c r="D3" s="22"/>
      <c r="E3" s="23"/>
      <c r="F3" s="22"/>
      <c r="I3" s="105"/>
      <c r="J3" s="25"/>
      <c r="K3" s="25"/>
      <c r="L3" s="25"/>
      <c r="M3" s="25"/>
      <c r="N3" s="25"/>
      <c r="O3" s="25"/>
      <c r="P3" s="24"/>
      <c r="Q3" s="103"/>
      <c r="R3" s="104"/>
      <c r="S3" s="104"/>
      <c r="T3" s="104"/>
      <c r="U3" s="104"/>
      <c r="V3" s="104"/>
      <c r="W3" s="104"/>
      <c r="X3" s="104"/>
      <c r="Y3" s="104"/>
      <c r="Z3" s="104"/>
    </row>
    <row r="4" spans="1:64" s="25" customFormat="1" ht="30" customHeight="1" x14ac:dyDescent="0.25">
      <c r="A4" s="94"/>
      <c r="B4" s="94" t="s">
        <v>53</v>
      </c>
      <c r="D4" s="26"/>
      <c r="E4" s="27"/>
    </row>
    <row r="5" spans="1:64" s="25" customFormat="1" ht="30" customHeight="1" x14ac:dyDescent="0.25">
      <c r="A5" s="14"/>
      <c r="B5" s="94" t="s">
        <v>54</v>
      </c>
      <c r="E5" s="28"/>
      <c r="I5" s="119">
        <f>I6</f>
        <v>46146</v>
      </c>
      <c r="J5" s="117"/>
      <c r="K5" s="117"/>
      <c r="L5" s="117"/>
      <c r="M5" s="117"/>
      <c r="N5" s="117"/>
      <c r="O5" s="117"/>
      <c r="P5" s="117">
        <f>P6</f>
        <v>46153</v>
      </c>
      <c r="Q5" s="117"/>
      <c r="R5" s="117"/>
      <c r="S5" s="117"/>
      <c r="T5" s="117"/>
      <c r="U5" s="117"/>
      <c r="V5" s="117"/>
      <c r="W5" s="117">
        <f>W6</f>
        <v>46160</v>
      </c>
      <c r="X5" s="117"/>
      <c r="Y5" s="117"/>
      <c r="Z5" s="117"/>
      <c r="AA5" s="117"/>
      <c r="AB5" s="117"/>
      <c r="AC5" s="117"/>
      <c r="AD5" s="117">
        <f>AD6</f>
        <v>46167</v>
      </c>
      <c r="AE5" s="117"/>
      <c r="AF5" s="117"/>
      <c r="AG5" s="117"/>
      <c r="AH5" s="117"/>
      <c r="AI5" s="117"/>
      <c r="AJ5" s="117"/>
      <c r="AK5" s="117">
        <f>AK6</f>
        <v>46174</v>
      </c>
      <c r="AL5" s="117"/>
      <c r="AM5" s="117"/>
      <c r="AN5" s="117"/>
      <c r="AO5" s="117"/>
      <c r="AP5" s="117"/>
      <c r="AQ5" s="117"/>
      <c r="AR5" s="117">
        <f>AR6</f>
        <v>46181</v>
      </c>
      <c r="AS5" s="117"/>
      <c r="AT5" s="117"/>
      <c r="AU5" s="117"/>
      <c r="AV5" s="117"/>
      <c r="AW5" s="117"/>
      <c r="AX5" s="117"/>
      <c r="AY5" s="117">
        <f>AY6</f>
        <v>46188</v>
      </c>
      <c r="AZ5" s="117"/>
      <c r="BA5" s="117"/>
      <c r="BB5" s="117"/>
      <c r="BC5" s="117"/>
      <c r="BD5" s="117"/>
      <c r="BE5" s="117"/>
      <c r="BF5" s="117">
        <f>BF6</f>
        <v>46195</v>
      </c>
      <c r="BG5" s="117"/>
      <c r="BH5" s="117"/>
      <c r="BI5" s="117"/>
      <c r="BJ5" s="117"/>
      <c r="BK5" s="117"/>
      <c r="BL5" s="118"/>
    </row>
    <row r="6" spans="1:64" s="25" customFormat="1" ht="15" customHeight="1" x14ac:dyDescent="0.25">
      <c r="A6" s="106"/>
      <c r="B6" s="107" t="s">
        <v>4</v>
      </c>
      <c r="C6" s="109" t="s">
        <v>22</v>
      </c>
      <c r="D6" s="111" t="s">
        <v>0</v>
      </c>
      <c r="E6" s="111" t="s">
        <v>2</v>
      </c>
      <c r="F6" s="111" t="s">
        <v>3</v>
      </c>
      <c r="I6" s="29">
        <f>Project_Start-WEEKDAY(Project_Start,1)+2+7*(Display_Week-1)</f>
        <v>46146</v>
      </c>
      <c r="J6" s="29">
        <f>I6+1</f>
        <v>46147</v>
      </c>
      <c r="K6" s="29">
        <f t="shared" ref="K6:AX6" si="0">J6+1</f>
        <v>46148</v>
      </c>
      <c r="L6" s="29">
        <f t="shared" si="0"/>
        <v>46149</v>
      </c>
      <c r="M6" s="29">
        <f t="shared" si="0"/>
        <v>46150</v>
      </c>
      <c r="N6" s="29">
        <f t="shared" si="0"/>
        <v>46151</v>
      </c>
      <c r="O6" s="30">
        <f t="shared" si="0"/>
        <v>46152</v>
      </c>
      <c r="P6" s="31">
        <f>O6+1</f>
        <v>46153</v>
      </c>
      <c r="Q6" s="29">
        <f>P6+1</f>
        <v>46154</v>
      </c>
      <c r="R6" s="29">
        <f t="shared" si="0"/>
        <v>46155</v>
      </c>
      <c r="S6" s="29">
        <f t="shared" si="0"/>
        <v>46156</v>
      </c>
      <c r="T6" s="29">
        <f t="shared" si="0"/>
        <v>46157</v>
      </c>
      <c r="U6" s="29">
        <f t="shared" si="0"/>
        <v>46158</v>
      </c>
      <c r="V6" s="30">
        <f t="shared" si="0"/>
        <v>46159</v>
      </c>
      <c r="W6" s="31">
        <f>V6+1</f>
        <v>46160</v>
      </c>
      <c r="X6" s="29">
        <f>W6+1</f>
        <v>46161</v>
      </c>
      <c r="Y6" s="29">
        <f t="shared" si="0"/>
        <v>46162</v>
      </c>
      <c r="Z6" s="29">
        <f t="shared" si="0"/>
        <v>46163</v>
      </c>
      <c r="AA6" s="29">
        <f t="shared" si="0"/>
        <v>46164</v>
      </c>
      <c r="AB6" s="29">
        <f t="shared" si="0"/>
        <v>46165</v>
      </c>
      <c r="AC6" s="30">
        <f t="shared" si="0"/>
        <v>46166</v>
      </c>
      <c r="AD6" s="31">
        <f>AC6+1</f>
        <v>46167</v>
      </c>
      <c r="AE6" s="29">
        <f>AD6+1</f>
        <v>46168</v>
      </c>
      <c r="AF6" s="29">
        <f t="shared" si="0"/>
        <v>46169</v>
      </c>
      <c r="AG6" s="29">
        <f t="shared" si="0"/>
        <v>46170</v>
      </c>
      <c r="AH6" s="29">
        <f t="shared" si="0"/>
        <v>46171</v>
      </c>
      <c r="AI6" s="29">
        <f t="shared" si="0"/>
        <v>46172</v>
      </c>
      <c r="AJ6" s="30">
        <f t="shared" si="0"/>
        <v>46173</v>
      </c>
      <c r="AK6" s="31">
        <f>AJ6+1</f>
        <v>46174</v>
      </c>
      <c r="AL6" s="29">
        <f>AK6+1</f>
        <v>46175</v>
      </c>
      <c r="AM6" s="29">
        <f t="shared" si="0"/>
        <v>46176</v>
      </c>
      <c r="AN6" s="29">
        <f t="shared" si="0"/>
        <v>46177</v>
      </c>
      <c r="AO6" s="29">
        <f t="shared" si="0"/>
        <v>46178</v>
      </c>
      <c r="AP6" s="29">
        <f t="shared" si="0"/>
        <v>46179</v>
      </c>
      <c r="AQ6" s="30">
        <f t="shared" si="0"/>
        <v>46180</v>
      </c>
      <c r="AR6" s="31">
        <f>AQ6+1</f>
        <v>46181</v>
      </c>
      <c r="AS6" s="29">
        <f>AR6+1</f>
        <v>46182</v>
      </c>
      <c r="AT6" s="29">
        <f t="shared" si="0"/>
        <v>46183</v>
      </c>
      <c r="AU6" s="29">
        <f t="shared" si="0"/>
        <v>46184</v>
      </c>
      <c r="AV6" s="29">
        <f t="shared" si="0"/>
        <v>46185</v>
      </c>
      <c r="AW6" s="29">
        <f t="shared" si="0"/>
        <v>46186</v>
      </c>
      <c r="AX6" s="30">
        <f t="shared" si="0"/>
        <v>46187</v>
      </c>
      <c r="AY6" s="31">
        <f>AX6+1</f>
        <v>46188</v>
      </c>
      <c r="AZ6" s="29">
        <f>AY6+1</f>
        <v>46189</v>
      </c>
      <c r="BA6" s="29">
        <f t="shared" ref="BA6:BE6" si="1">AZ6+1</f>
        <v>46190</v>
      </c>
      <c r="BB6" s="29">
        <f t="shared" si="1"/>
        <v>46191</v>
      </c>
      <c r="BC6" s="29">
        <f t="shared" si="1"/>
        <v>46192</v>
      </c>
      <c r="BD6" s="29">
        <f t="shared" si="1"/>
        <v>46193</v>
      </c>
      <c r="BE6" s="30">
        <f t="shared" si="1"/>
        <v>46194</v>
      </c>
      <c r="BF6" s="31">
        <f>BE6+1</f>
        <v>46195</v>
      </c>
      <c r="BG6" s="29">
        <f>BF6+1</f>
        <v>46196</v>
      </c>
      <c r="BH6" s="29">
        <f t="shared" ref="BH6:BL6" si="2">BG6+1</f>
        <v>46197</v>
      </c>
      <c r="BI6" s="29">
        <f t="shared" si="2"/>
        <v>46198</v>
      </c>
      <c r="BJ6" s="29">
        <f t="shared" si="2"/>
        <v>46199</v>
      </c>
      <c r="BK6" s="29">
        <f t="shared" si="2"/>
        <v>46200</v>
      </c>
      <c r="BL6" s="29">
        <f t="shared" si="2"/>
        <v>46201</v>
      </c>
    </row>
    <row r="7" spans="1:64" s="25" customFormat="1" ht="15" customHeight="1" thickBot="1" x14ac:dyDescent="0.3">
      <c r="A7" s="106"/>
      <c r="B7" s="108"/>
      <c r="C7" s="110"/>
      <c r="D7" s="110"/>
      <c r="E7" s="110"/>
      <c r="F7" s="110"/>
      <c r="I7" s="32" t="str">
        <f t="shared" ref="I7:AN7" si="3">LEFT(TEXT(I6,"ddd"),1)</f>
        <v>d</v>
      </c>
      <c r="J7" s="33" t="str">
        <f t="shared" si="3"/>
        <v>d</v>
      </c>
      <c r="K7" s="33" t="str">
        <f t="shared" si="3"/>
        <v>d</v>
      </c>
      <c r="L7" s="33" t="str">
        <f t="shared" si="3"/>
        <v>d</v>
      </c>
      <c r="M7" s="33" t="str">
        <f t="shared" si="3"/>
        <v>d</v>
      </c>
      <c r="N7" s="33" t="str">
        <f t="shared" si="3"/>
        <v>d</v>
      </c>
      <c r="O7" s="33" t="str">
        <f t="shared" si="3"/>
        <v>d</v>
      </c>
      <c r="P7" s="33" t="str">
        <f t="shared" si="3"/>
        <v>d</v>
      </c>
      <c r="Q7" s="33" t="str">
        <f t="shared" si="3"/>
        <v>d</v>
      </c>
      <c r="R7" s="33" t="str">
        <f t="shared" si="3"/>
        <v>d</v>
      </c>
      <c r="S7" s="33" t="str">
        <f t="shared" si="3"/>
        <v>d</v>
      </c>
      <c r="T7" s="33" t="str">
        <f t="shared" si="3"/>
        <v>d</v>
      </c>
      <c r="U7" s="33" t="str">
        <f t="shared" si="3"/>
        <v>d</v>
      </c>
      <c r="V7" s="33" t="str">
        <f t="shared" si="3"/>
        <v>d</v>
      </c>
      <c r="W7" s="33" t="str">
        <f t="shared" si="3"/>
        <v>d</v>
      </c>
      <c r="X7" s="33" t="str">
        <f t="shared" si="3"/>
        <v>d</v>
      </c>
      <c r="Y7" s="33" t="str">
        <f t="shared" si="3"/>
        <v>d</v>
      </c>
      <c r="Z7" s="33" t="str">
        <f t="shared" si="3"/>
        <v>d</v>
      </c>
      <c r="AA7" s="33" t="str">
        <f t="shared" si="3"/>
        <v>d</v>
      </c>
      <c r="AB7" s="33" t="str">
        <f t="shared" si="3"/>
        <v>d</v>
      </c>
      <c r="AC7" s="33" t="str">
        <f t="shared" si="3"/>
        <v>d</v>
      </c>
      <c r="AD7" s="33" t="str">
        <f t="shared" si="3"/>
        <v>d</v>
      </c>
      <c r="AE7" s="33" t="str">
        <f t="shared" si="3"/>
        <v>d</v>
      </c>
      <c r="AF7" s="33" t="str">
        <f t="shared" si="3"/>
        <v>d</v>
      </c>
      <c r="AG7" s="33" t="str">
        <f t="shared" si="3"/>
        <v>d</v>
      </c>
      <c r="AH7" s="33" t="str">
        <f t="shared" si="3"/>
        <v>d</v>
      </c>
      <c r="AI7" s="33" t="str">
        <f t="shared" si="3"/>
        <v>d</v>
      </c>
      <c r="AJ7" s="33" t="str">
        <f t="shared" si="3"/>
        <v>d</v>
      </c>
      <c r="AK7" s="33" t="str">
        <f t="shared" si="3"/>
        <v>d</v>
      </c>
      <c r="AL7" s="33" t="str">
        <f t="shared" si="3"/>
        <v>d</v>
      </c>
      <c r="AM7" s="33" t="str">
        <f t="shared" si="3"/>
        <v>d</v>
      </c>
      <c r="AN7" s="33" t="str">
        <f t="shared" si="3"/>
        <v>d</v>
      </c>
      <c r="AO7" s="33" t="str">
        <f t="shared" ref="AO7:BL7" si="4">LEFT(TEXT(AO6,"ddd"),1)</f>
        <v>d</v>
      </c>
      <c r="AP7" s="33" t="str">
        <f t="shared" si="4"/>
        <v>d</v>
      </c>
      <c r="AQ7" s="33" t="str">
        <f t="shared" si="4"/>
        <v>d</v>
      </c>
      <c r="AR7" s="33" t="str">
        <f t="shared" si="4"/>
        <v>d</v>
      </c>
      <c r="AS7" s="33" t="str">
        <f t="shared" si="4"/>
        <v>d</v>
      </c>
      <c r="AT7" s="33" t="str">
        <f t="shared" si="4"/>
        <v>d</v>
      </c>
      <c r="AU7" s="33" t="str">
        <f t="shared" si="4"/>
        <v>d</v>
      </c>
      <c r="AV7" s="33" t="str">
        <f t="shared" si="4"/>
        <v>d</v>
      </c>
      <c r="AW7" s="33" t="str">
        <f t="shared" si="4"/>
        <v>d</v>
      </c>
      <c r="AX7" s="33" t="str">
        <f t="shared" si="4"/>
        <v>d</v>
      </c>
      <c r="AY7" s="33" t="str">
        <f t="shared" si="4"/>
        <v>d</v>
      </c>
      <c r="AZ7" s="33" t="str">
        <f t="shared" si="4"/>
        <v>d</v>
      </c>
      <c r="BA7" s="33" t="str">
        <f t="shared" si="4"/>
        <v>d</v>
      </c>
      <c r="BB7" s="33" t="str">
        <f t="shared" si="4"/>
        <v>d</v>
      </c>
      <c r="BC7" s="33" t="str">
        <f t="shared" si="4"/>
        <v>d</v>
      </c>
      <c r="BD7" s="33" t="str">
        <f t="shared" si="4"/>
        <v>d</v>
      </c>
      <c r="BE7" s="33" t="str">
        <f t="shared" si="4"/>
        <v>d</v>
      </c>
      <c r="BF7" s="33" t="str">
        <f t="shared" si="4"/>
        <v>d</v>
      </c>
      <c r="BG7" s="33" t="str">
        <f t="shared" si="4"/>
        <v>d</v>
      </c>
      <c r="BH7" s="33" t="str">
        <f t="shared" si="4"/>
        <v>d</v>
      </c>
      <c r="BI7" s="33" t="str">
        <f t="shared" si="4"/>
        <v>d</v>
      </c>
      <c r="BJ7" s="33" t="str">
        <f t="shared" si="4"/>
        <v>d</v>
      </c>
      <c r="BK7" s="33" t="str">
        <f t="shared" si="4"/>
        <v>d</v>
      </c>
      <c r="BL7" s="34" t="str">
        <f t="shared" si="4"/>
        <v>d</v>
      </c>
    </row>
    <row r="8" spans="1:64" s="25" customFormat="1" ht="30" hidden="1" customHeight="1" thickBot="1" x14ac:dyDescent="0.3">
      <c r="A8" s="13" t="s">
        <v>18</v>
      </c>
      <c r="B8" s="35"/>
      <c r="C8" s="36"/>
      <c r="D8" s="35"/>
      <c r="E8" s="35"/>
      <c r="F8" s="35"/>
      <c r="H8" s="25" t="str">
        <f>IF(OR(ISBLANK(task_start),ISBLANK(task_end)),"",task_end-task_start+1)</f>
        <v/>
      </c>
      <c r="I8" s="37"/>
      <c r="J8" s="37"/>
      <c r="K8" s="37"/>
      <c r="L8" s="37"/>
      <c r="M8" s="37"/>
      <c r="N8" s="37"/>
      <c r="O8" s="37"/>
      <c r="P8" s="37"/>
      <c r="Q8" s="37"/>
      <c r="R8" s="37"/>
      <c r="S8" s="37"/>
      <c r="T8" s="37"/>
      <c r="U8" s="37"/>
      <c r="V8" s="37"/>
      <c r="W8" s="37"/>
      <c r="X8" s="37"/>
      <c r="Y8" s="37"/>
      <c r="Z8" s="37"/>
      <c r="AA8" s="37"/>
      <c r="AB8" s="37"/>
      <c r="AC8" s="37"/>
      <c r="AD8" s="37"/>
      <c r="AE8" s="37"/>
      <c r="AF8" s="37"/>
      <c r="AG8" s="37"/>
      <c r="AH8" s="37"/>
      <c r="AI8" s="37"/>
      <c r="AJ8" s="37"/>
      <c r="AK8" s="37"/>
      <c r="AL8" s="37"/>
      <c r="AM8" s="37"/>
      <c r="AN8" s="37"/>
      <c r="AO8" s="37"/>
      <c r="AP8" s="37"/>
      <c r="AQ8" s="37"/>
      <c r="AR8" s="37"/>
      <c r="AS8" s="37"/>
      <c r="AT8" s="37"/>
      <c r="AU8" s="37"/>
      <c r="AV8" s="37"/>
      <c r="AW8" s="37"/>
      <c r="AX8" s="37"/>
      <c r="AY8" s="37"/>
      <c r="AZ8" s="37"/>
      <c r="BA8" s="37"/>
      <c r="BB8" s="37"/>
      <c r="BC8" s="37"/>
      <c r="BD8" s="37"/>
      <c r="BE8" s="37"/>
      <c r="BF8" s="37"/>
      <c r="BG8" s="37"/>
      <c r="BH8" s="37"/>
      <c r="BI8" s="37"/>
      <c r="BJ8" s="37"/>
      <c r="BK8" s="37"/>
      <c r="BL8" s="37"/>
    </row>
    <row r="9" spans="1:64" s="44" customFormat="1" ht="30" customHeight="1" thickBot="1" x14ac:dyDescent="0.3">
      <c r="A9" s="14"/>
      <c r="B9" s="38" t="s">
        <v>19</v>
      </c>
      <c r="C9" s="39"/>
      <c r="D9" s="40"/>
      <c r="E9" s="41"/>
      <c r="F9" s="42"/>
      <c r="G9" s="17"/>
      <c r="H9" s="5" t="str">
        <f t="shared" ref="H9:H33" si="5">IF(OR(ISBLANK(task_start),ISBLANK(task_end)),"",task_end-task_start+1)</f>
        <v/>
      </c>
      <c r="I9" s="43"/>
      <c r="J9" s="43"/>
      <c r="K9" s="43"/>
      <c r="L9" s="43"/>
      <c r="M9" s="43"/>
      <c r="N9" s="43"/>
      <c r="O9" s="43"/>
      <c r="P9" s="43"/>
      <c r="Q9" s="43"/>
      <c r="R9" s="43"/>
      <c r="S9" s="43"/>
      <c r="T9" s="43"/>
      <c r="U9" s="43"/>
      <c r="V9" s="43"/>
      <c r="W9" s="43"/>
      <c r="X9" s="43"/>
      <c r="Y9" s="43"/>
      <c r="Z9" s="43"/>
      <c r="AA9" s="43"/>
      <c r="AB9" s="43"/>
      <c r="AC9" s="43"/>
      <c r="AD9" s="43"/>
      <c r="AE9" s="43"/>
      <c r="AF9" s="43"/>
      <c r="AG9" s="43"/>
      <c r="AH9" s="43"/>
      <c r="AI9" s="43"/>
      <c r="AJ9" s="43"/>
      <c r="AK9" s="43"/>
      <c r="AL9" s="43"/>
      <c r="AM9" s="43"/>
      <c r="AN9" s="43"/>
      <c r="AO9" s="43"/>
      <c r="AP9" s="43"/>
      <c r="AQ9" s="43"/>
      <c r="AR9" s="43"/>
      <c r="AS9" s="43"/>
      <c r="AT9" s="43"/>
      <c r="AU9" s="43"/>
      <c r="AV9" s="43"/>
      <c r="AW9" s="43"/>
      <c r="AX9" s="43"/>
      <c r="AY9" s="43"/>
      <c r="AZ9" s="43"/>
      <c r="BA9" s="43"/>
      <c r="BB9" s="43"/>
      <c r="BC9" s="43"/>
      <c r="BD9" s="43"/>
      <c r="BE9" s="43"/>
      <c r="BF9" s="43"/>
      <c r="BG9" s="43"/>
      <c r="BH9" s="43"/>
      <c r="BI9" s="43"/>
      <c r="BJ9" s="43"/>
      <c r="BK9" s="43"/>
      <c r="BL9" s="43"/>
    </row>
    <row r="10" spans="1:64" s="44" customFormat="1" ht="30" customHeight="1" thickBot="1" x14ac:dyDescent="0.3">
      <c r="A10" s="14"/>
      <c r="B10" s="45" t="s">
        <v>33</v>
      </c>
      <c r="C10" s="46" t="s">
        <v>23</v>
      </c>
      <c r="D10" s="47">
        <v>1</v>
      </c>
      <c r="E10" s="48">
        <f>Project_Start</f>
        <v>46147</v>
      </c>
      <c r="F10" s="48">
        <f>E10+1</f>
        <v>46148</v>
      </c>
      <c r="G10" s="17"/>
      <c r="H10" s="5">
        <f t="shared" si="5"/>
        <v>2</v>
      </c>
      <c r="I10" s="49"/>
      <c r="J10" s="49"/>
      <c r="K10" s="49"/>
      <c r="L10" s="49"/>
      <c r="M10" s="49"/>
      <c r="N10" s="49"/>
      <c r="O10" s="49"/>
      <c r="P10" s="49"/>
      <c r="Q10" s="49"/>
      <c r="R10" s="49"/>
      <c r="S10" s="49"/>
      <c r="T10" s="49"/>
      <c r="U10" s="49"/>
      <c r="V10" s="49"/>
      <c r="W10" s="49"/>
      <c r="X10" s="49"/>
      <c r="Y10" s="49"/>
      <c r="Z10" s="49"/>
      <c r="AA10" s="49"/>
      <c r="AB10" s="49"/>
      <c r="AC10" s="49"/>
      <c r="AD10" s="49"/>
      <c r="AE10" s="49"/>
      <c r="AF10" s="49"/>
      <c r="AG10" s="49"/>
      <c r="AH10" s="49"/>
      <c r="AI10" s="49"/>
      <c r="AJ10" s="49"/>
      <c r="AK10" s="49"/>
      <c r="AL10" s="49"/>
      <c r="AM10" s="49"/>
      <c r="AN10" s="49"/>
      <c r="AO10" s="49"/>
      <c r="AP10" s="49"/>
      <c r="AQ10" s="49"/>
      <c r="AR10" s="49"/>
      <c r="AS10" s="49"/>
      <c r="AT10" s="49"/>
      <c r="AU10" s="49"/>
      <c r="AV10" s="49"/>
      <c r="AW10" s="49"/>
      <c r="AX10" s="49"/>
      <c r="AY10" s="49"/>
      <c r="AZ10" s="49"/>
      <c r="BA10" s="49"/>
      <c r="BB10" s="49"/>
      <c r="BC10" s="49"/>
      <c r="BD10" s="49"/>
      <c r="BE10" s="49"/>
      <c r="BF10" s="49"/>
      <c r="BG10" s="49"/>
      <c r="BH10" s="49"/>
      <c r="BI10" s="49"/>
      <c r="BJ10" s="49"/>
      <c r="BK10" s="49"/>
      <c r="BL10" s="49"/>
    </row>
    <row r="11" spans="1:64" s="44" customFormat="1" ht="30" customHeight="1" thickBot="1" x14ac:dyDescent="0.3">
      <c r="A11" s="14"/>
      <c r="B11" s="50" t="s">
        <v>24</v>
      </c>
      <c r="C11" s="51" t="s">
        <v>23</v>
      </c>
      <c r="D11" s="52">
        <v>1</v>
      </c>
      <c r="E11" s="53">
        <f>Project_Start</f>
        <v>46147</v>
      </c>
      <c r="F11" s="53">
        <f>E11+1</f>
        <v>46148</v>
      </c>
      <c r="G11" s="17"/>
      <c r="H11" s="5">
        <f t="shared" si="5"/>
        <v>2</v>
      </c>
      <c r="I11" s="49"/>
      <c r="J11" s="49"/>
      <c r="K11" s="49"/>
      <c r="L11" s="49"/>
      <c r="M11" s="49"/>
      <c r="N11" s="49"/>
      <c r="O11" s="49"/>
      <c r="P11" s="49"/>
      <c r="Q11" s="49"/>
      <c r="R11" s="49"/>
      <c r="S11" s="49"/>
      <c r="T11" s="49"/>
      <c r="U11" s="54"/>
      <c r="V11" s="54"/>
      <c r="W11" s="49"/>
      <c r="X11" s="49"/>
      <c r="Y11" s="49"/>
      <c r="Z11" s="49"/>
      <c r="AA11" s="49"/>
      <c r="AB11" s="49"/>
      <c r="AC11" s="49"/>
      <c r="AD11" s="49"/>
      <c r="AE11" s="49"/>
      <c r="AF11" s="49"/>
      <c r="AG11" s="49"/>
      <c r="AH11" s="49"/>
      <c r="AI11" s="49"/>
      <c r="AJ11" s="49"/>
      <c r="AK11" s="49"/>
      <c r="AL11" s="49"/>
      <c r="AM11" s="49"/>
      <c r="AN11" s="49"/>
      <c r="AO11" s="49"/>
      <c r="AP11" s="49"/>
      <c r="AQ11" s="49"/>
      <c r="AR11" s="49"/>
      <c r="AS11" s="49"/>
      <c r="AT11" s="49"/>
      <c r="AU11" s="49"/>
      <c r="AV11" s="49"/>
      <c r="AW11" s="49"/>
      <c r="AX11" s="49"/>
      <c r="AY11" s="49"/>
      <c r="AZ11" s="49"/>
      <c r="BA11" s="49"/>
      <c r="BB11" s="49"/>
      <c r="BC11" s="49"/>
      <c r="BD11" s="49"/>
      <c r="BE11" s="49"/>
      <c r="BF11" s="49"/>
      <c r="BG11" s="49"/>
      <c r="BH11" s="49"/>
      <c r="BI11" s="49"/>
      <c r="BJ11" s="49"/>
      <c r="BK11" s="49"/>
      <c r="BL11" s="49"/>
    </row>
    <row r="12" spans="1:64" s="44" customFormat="1" ht="30" customHeight="1" thickBot="1" x14ac:dyDescent="0.3">
      <c r="A12" s="13"/>
      <c r="B12" s="50" t="s">
        <v>25</v>
      </c>
      <c r="C12" s="51" t="s">
        <v>26</v>
      </c>
      <c r="D12" s="52">
        <v>1</v>
      </c>
      <c r="E12" s="53">
        <f>F11+1</f>
        <v>46149</v>
      </c>
      <c r="F12" s="53">
        <f>E12+4</f>
        <v>46153</v>
      </c>
      <c r="G12" s="17"/>
      <c r="H12" s="5">
        <f t="shared" si="5"/>
        <v>5</v>
      </c>
      <c r="I12" s="49"/>
      <c r="J12" s="49"/>
      <c r="K12" s="49"/>
      <c r="L12" s="49"/>
      <c r="M12" s="49"/>
      <c r="N12" s="49"/>
      <c r="O12" s="49"/>
      <c r="P12" s="49"/>
      <c r="Q12" s="49"/>
      <c r="R12" s="49"/>
      <c r="S12" s="49"/>
      <c r="T12" s="49"/>
      <c r="U12" s="49"/>
      <c r="V12" s="49"/>
      <c r="W12" s="49"/>
      <c r="X12" s="49"/>
      <c r="Y12" s="49"/>
      <c r="Z12" s="49"/>
      <c r="AA12" s="49"/>
      <c r="AB12" s="49"/>
      <c r="AC12" s="49"/>
      <c r="AD12" s="49"/>
      <c r="AE12" s="49"/>
      <c r="AF12" s="49"/>
      <c r="AG12" s="49"/>
      <c r="AH12" s="49"/>
      <c r="AI12" s="49"/>
      <c r="AJ12" s="49"/>
      <c r="AK12" s="49"/>
      <c r="AL12" s="49"/>
      <c r="AM12" s="49"/>
      <c r="AN12" s="49"/>
      <c r="AO12" s="49"/>
      <c r="AP12" s="49"/>
      <c r="AQ12" s="49"/>
      <c r="AR12" s="49"/>
      <c r="AS12" s="49"/>
      <c r="AT12" s="49"/>
      <c r="AU12" s="49"/>
      <c r="AV12" s="49"/>
      <c r="AW12" s="49"/>
      <c r="AX12" s="49"/>
      <c r="AY12" s="49"/>
      <c r="AZ12" s="49"/>
      <c r="BA12" s="49"/>
      <c r="BB12" s="49"/>
      <c r="BC12" s="49"/>
      <c r="BD12" s="49"/>
      <c r="BE12" s="49"/>
      <c r="BF12" s="49"/>
      <c r="BG12" s="49"/>
      <c r="BH12" s="49"/>
      <c r="BI12" s="49"/>
      <c r="BJ12" s="49"/>
      <c r="BK12" s="49"/>
      <c r="BL12" s="49"/>
    </row>
    <row r="13" spans="1:64" s="44" customFormat="1" ht="30" customHeight="1" thickBot="1" x14ac:dyDescent="0.3">
      <c r="A13" s="13"/>
      <c r="B13" s="50" t="s">
        <v>32</v>
      </c>
      <c r="C13" s="51" t="s">
        <v>34</v>
      </c>
      <c r="D13" s="52">
        <v>1</v>
      </c>
      <c r="E13" s="53">
        <f>F11+1</f>
        <v>46149</v>
      </c>
      <c r="F13" s="53">
        <f>E13+4</f>
        <v>46153</v>
      </c>
      <c r="G13" s="17"/>
      <c r="H13" s="5"/>
      <c r="I13" s="49"/>
      <c r="J13" s="49"/>
      <c r="K13" s="49"/>
      <c r="L13" s="49"/>
      <c r="M13" s="49"/>
      <c r="N13" s="49"/>
      <c r="O13" s="49"/>
      <c r="P13" s="49"/>
      <c r="Q13" s="49"/>
      <c r="R13" s="49"/>
      <c r="S13" s="49"/>
      <c r="T13" s="49"/>
      <c r="U13" s="49"/>
      <c r="V13" s="49"/>
      <c r="W13" s="49"/>
      <c r="X13" s="49"/>
      <c r="Y13" s="49"/>
      <c r="Z13" s="49"/>
      <c r="AA13" s="49"/>
      <c r="AB13" s="49"/>
      <c r="AC13" s="49"/>
      <c r="AD13" s="49"/>
      <c r="AE13" s="49"/>
      <c r="AF13" s="49"/>
      <c r="AG13" s="49"/>
      <c r="AH13" s="49"/>
      <c r="AI13" s="49"/>
      <c r="AJ13" s="49"/>
      <c r="AK13" s="49"/>
      <c r="AL13" s="49"/>
      <c r="AM13" s="49"/>
      <c r="AN13" s="49"/>
      <c r="AO13" s="49"/>
      <c r="AP13" s="49"/>
      <c r="AQ13" s="49"/>
      <c r="AR13" s="49"/>
      <c r="AS13" s="49"/>
      <c r="AT13" s="49"/>
      <c r="AU13" s="49"/>
      <c r="AV13" s="49"/>
      <c r="AW13" s="49"/>
      <c r="AX13" s="49"/>
      <c r="AY13" s="49"/>
      <c r="AZ13" s="49"/>
      <c r="BA13" s="49"/>
      <c r="BB13" s="49"/>
      <c r="BC13" s="49"/>
      <c r="BD13" s="49"/>
      <c r="BE13" s="49"/>
      <c r="BF13" s="49"/>
      <c r="BG13" s="49"/>
      <c r="BH13" s="49"/>
      <c r="BI13" s="49"/>
      <c r="BJ13" s="49"/>
      <c r="BK13" s="49"/>
      <c r="BL13" s="49"/>
    </row>
    <row r="14" spans="1:64" s="44" customFormat="1" ht="30" customHeight="1" thickBot="1" x14ac:dyDescent="0.3">
      <c r="A14" s="13"/>
      <c r="B14" s="50" t="s">
        <v>28</v>
      </c>
      <c r="C14" s="51" t="s">
        <v>55</v>
      </c>
      <c r="D14" s="52">
        <v>1</v>
      </c>
      <c r="E14" s="53">
        <f>F11+1</f>
        <v>46149</v>
      </c>
      <c r="F14" s="53">
        <f>E14+4</f>
        <v>46153</v>
      </c>
      <c r="G14" s="17"/>
      <c r="H14" s="5">
        <f t="shared" si="5"/>
        <v>5</v>
      </c>
      <c r="I14" s="49"/>
      <c r="J14" s="49"/>
      <c r="K14" s="49"/>
      <c r="L14" s="49"/>
      <c r="M14" s="49"/>
      <c r="N14" s="49"/>
      <c r="O14" s="49"/>
      <c r="P14" s="49"/>
      <c r="Q14" s="49"/>
      <c r="R14" s="49"/>
      <c r="S14" s="49"/>
      <c r="T14" s="49"/>
      <c r="U14" s="49"/>
      <c r="V14" s="49"/>
      <c r="W14" s="49"/>
      <c r="X14" s="49"/>
      <c r="Y14" s="54"/>
      <c r="Z14" s="49"/>
      <c r="AA14" s="49"/>
      <c r="AB14" s="49"/>
      <c r="AC14" s="49"/>
      <c r="AD14" s="49"/>
      <c r="AE14" s="49"/>
      <c r="AF14" s="49"/>
      <c r="AG14" s="49"/>
      <c r="AH14" s="49"/>
      <c r="AI14" s="49"/>
      <c r="AJ14" s="49"/>
      <c r="AK14" s="49"/>
      <c r="AL14" s="49"/>
      <c r="AM14" s="49"/>
      <c r="AN14" s="49"/>
      <c r="AO14" s="49"/>
      <c r="AP14" s="49"/>
      <c r="AQ14" s="49"/>
      <c r="AR14" s="49"/>
      <c r="AS14" s="49"/>
      <c r="AT14" s="49"/>
      <c r="AU14" s="49"/>
      <c r="AV14" s="49"/>
      <c r="AW14" s="49"/>
      <c r="AX14" s="49"/>
      <c r="AY14" s="49"/>
      <c r="AZ14" s="49"/>
      <c r="BA14" s="49"/>
      <c r="BB14" s="49"/>
      <c r="BC14" s="49"/>
      <c r="BD14" s="49"/>
      <c r="BE14" s="49"/>
      <c r="BF14" s="49"/>
      <c r="BG14" s="49"/>
      <c r="BH14" s="49"/>
      <c r="BI14" s="49"/>
      <c r="BJ14" s="49"/>
      <c r="BK14" s="49"/>
      <c r="BL14" s="49"/>
    </row>
    <row r="15" spans="1:64" s="44" customFormat="1" ht="30" customHeight="1" thickBot="1" x14ac:dyDescent="0.3">
      <c r="A15" s="13"/>
      <c r="B15" s="50" t="s">
        <v>27</v>
      </c>
      <c r="C15" s="51" t="s">
        <v>29</v>
      </c>
      <c r="D15" s="52">
        <v>1</v>
      </c>
      <c r="E15" s="53">
        <f>F11+1</f>
        <v>46149</v>
      </c>
      <c r="F15" s="53">
        <f>E15+4</f>
        <v>46153</v>
      </c>
      <c r="G15" s="17"/>
      <c r="H15" s="5">
        <f t="shared" si="5"/>
        <v>5</v>
      </c>
      <c r="I15" s="49"/>
      <c r="J15" s="49"/>
      <c r="K15" s="49"/>
      <c r="L15" s="49"/>
      <c r="M15" s="49"/>
      <c r="N15" s="49"/>
      <c r="O15" s="49"/>
      <c r="P15" s="49"/>
      <c r="Q15" s="49"/>
      <c r="R15" s="49"/>
      <c r="S15" s="49"/>
      <c r="T15" s="49"/>
      <c r="U15" s="49"/>
      <c r="V15" s="49"/>
      <c r="W15" s="49"/>
      <c r="X15" s="49"/>
      <c r="Y15" s="49"/>
      <c r="Z15" s="49"/>
      <c r="AA15" s="49"/>
      <c r="AB15" s="49"/>
      <c r="AC15" s="49"/>
      <c r="AD15" s="49"/>
      <c r="AE15" s="49"/>
      <c r="AF15" s="49"/>
      <c r="AG15" s="49"/>
      <c r="AH15" s="49"/>
      <c r="AI15" s="49"/>
      <c r="AJ15" s="49"/>
      <c r="AK15" s="49"/>
      <c r="AL15" s="49"/>
      <c r="AM15" s="49"/>
      <c r="AN15" s="49"/>
      <c r="AO15" s="49"/>
      <c r="AP15" s="49"/>
      <c r="AQ15" s="49"/>
      <c r="AR15" s="49"/>
      <c r="AS15" s="49"/>
      <c r="AT15" s="49"/>
      <c r="AU15" s="49"/>
      <c r="AV15" s="49"/>
      <c r="AW15" s="49"/>
      <c r="AX15" s="49"/>
      <c r="AY15" s="49"/>
      <c r="AZ15" s="49"/>
      <c r="BA15" s="49"/>
      <c r="BB15" s="49"/>
      <c r="BC15" s="49"/>
      <c r="BD15" s="49"/>
      <c r="BE15" s="49"/>
      <c r="BF15" s="49"/>
      <c r="BG15" s="49"/>
      <c r="BH15" s="49"/>
      <c r="BI15" s="49"/>
      <c r="BJ15" s="49"/>
      <c r="BK15" s="49"/>
      <c r="BL15" s="49"/>
    </row>
    <row r="16" spans="1:64" s="44" customFormat="1" ht="30" customHeight="1" thickBot="1" x14ac:dyDescent="0.3">
      <c r="A16" s="14"/>
      <c r="B16" s="55" t="s">
        <v>30</v>
      </c>
      <c r="C16" s="56"/>
      <c r="D16" s="57"/>
      <c r="E16" s="58"/>
      <c r="F16" s="59"/>
      <c r="G16" s="17"/>
      <c r="H16" s="5" t="str">
        <f t="shared" si="5"/>
        <v/>
      </c>
    </row>
    <row r="17" spans="1:64" s="44" customFormat="1" ht="30" customHeight="1" thickBot="1" x14ac:dyDescent="0.3">
      <c r="A17" s="14"/>
      <c r="B17" s="60" t="s">
        <v>31</v>
      </c>
      <c r="C17" s="61" t="s">
        <v>37</v>
      </c>
      <c r="D17" s="62">
        <v>1</v>
      </c>
      <c r="E17" s="63">
        <f>F15+1</f>
        <v>46154</v>
      </c>
      <c r="F17" s="63">
        <f>E17+6</f>
        <v>46160</v>
      </c>
      <c r="G17" s="17"/>
      <c r="H17" s="5">
        <f t="shared" si="5"/>
        <v>7</v>
      </c>
      <c r="I17" s="49"/>
      <c r="J17" s="49"/>
      <c r="K17" s="49"/>
      <c r="L17" s="49"/>
      <c r="M17" s="49"/>
      <c r="N17" s="49"/>
      <c r="O17" s="49"/>
      <c r="P17" s="49"/>
      <c r="Q17" s="49"/>
      <c r="R17" s="49"/>
      <c r="S17" s="49"/>
      <c r="T17" s="49"/>
      <c r="U17" s="49"/>
      <c r="V17" s="49"/>
      <c r="W17" s="49"/>
      <c r="X17" s="49"/>
      <c r="Y17" s="49"/>
      <c r="Z17" s="49"/>
      <c r="AA17" s="49"/>
      <c r="AB17" s="49"/>
      <c r="AC17" s="49"/>
      <c r="AD17" s="49"/>
      <c r="AE17" s="49"/>
      <c r="AF17" s="49"/>
      <c r="AG17" s="49"/>
      <c r="AH17" s="49"/>
      <c r="AI17" s="49"/>
      <c r="AJ17" s="49"/>
      <c r="AK17" s="49"/>
      <c r="AL17" s="49"/>
      <c r="AM17" s="49"/>
      <c r="AN17" s="49"/>
      <c r="AO17" s="49"/>
      <c r="AP17" s="49"/>
      <c r="AQ17" s="49"/>
      <c r="AR17" s="49"/>
      <c r="AS17" s="49"/>
      <c r="AT17" s="49"/>
      <c r="AU17" s="49"/>
      <c r="AV17" s="49"/>
      <c r="AW17" s="49"/>
      <c r="AX17" s="49"/>
      <c r="AY17" s="49"/>
      <c r="AZ17" s="49"/>
      <c r="BA17" s="49"/>
      <c r="BB17" s="49"/>
      <c r="BC17" s="49"/>
      <c r="BD17" s="49"/>
      <c r="BE17" s="49"/>
      <c r="BF17" s="49"/>
      <c r="BG17" s="49"/>
      <c r="BH17" s="49"/>
      <c r="BI17" s="49"/>
      <c r="BJ17" s="49"/>
      <c r="BK17" s="49"/>
      <c r="BL17" s="49"/>
    </row>
    <row r="18" spans="1:64" s="44" customFormat="1" ht="30" customHeight="1" thickBot="1" x14ac:dyDescent="0.3">
      <c r="A18" s="13"/>
      <c r="B18" s="60" t="s">
        <v>36</v>
      </c>
      <c r="C18" s="61" t="s">
        <v>26</v>
      </c>
      <c r="D18" s="62">
        <v>1</v>
      </c>
      <c r="E18" s="63">
        <f>F15+1</f>
        <v>46154</v>
      </c>
      <c r="F18" s="63">
        <f>E18+6</f>
        <v>46160</v>
      </c>
      <c r="G18" s="17"/>
      <c r="H18" s="5">
        <f t="shared" si="5"/>
        <v>7</v>
      </c>
      <c r="I18" s="49"/>
      <c r="J18" s="49"/>
      <c r="K18" s="49"/>
      <c r="L18" s="49"/>
      <c r="M18" s="49"/>
      <c r="N18" s="49"/>
      <c r="O18" s="49"/>
      <c r="P18" s="49"/>
      <c r="Q18" s="49"/>
      <c r="R18" s="49"/>
      <c r="S18" s="49"/>
      <c r="T18" s="49"/>
      <c r="U18" s="54"/>
      <c r="V18" s="54"/>
      <c r="W18" s="49"/>
      <c r="X18" s="49"/>
      <c r="Y18" s="49"/>
      <c r="Z18" s="49"/>
      <c r="AA18" s="49"/>
      <c r="AB18" s="49"/>
      <c r="AC18" s="49"/>
      <c r="AD18" s="49"/>
      <c r="AE18" s="49"/>
      <c r="AF18" s="49"/>
      <c r="AG18" s="49"/>
      <c r="AH18" s="49"/>
      <c r="AI18" s="49"/>
      <c r="AJ18" s="49"/>
      <c r="AK18" s="49"/>
      <c r="AL18" s="49"/>
      <c r="AM18" s="49"/>
      <c r="AN18" s="49"/>
      <c r="AO18" s="49"/>
      <c r="AP18" s="49"/>
      <c r="AQ18" s="49"/>
      <c r="AR18" s="49"/>
      <c r="AS18" s="49"/>
      <c r="AT18" s="49"/>
      <c r="AU18" s="49"/>
      <c r="AV18" s="49"/>
      <c r="AW18" s="49"/>
      <c r="AX18" s="49"/>
      <c r="AY18" s="49"/>
      <c r="AZ18" s="49"/>
      <c r="BA18" s="49"/>
      <c r="BB18" s="49"/>
      <c r="BC18" s="49"/>
      <c r="BD18" s="49"/>
      <c r="BE18" s="49"/>
      <c r="BF18" s="49"/>
      <c r="BG18" s="49"/>
      <c r="BH18" s="49"/>
      <c r="BI18" s="49"/>
      <c r="BJ18" s="49"/>
      <c r="BK18" s="49"/>
      <c r="BL18" s="49"/>
    </row>
    <row r="19" spans="1:64" s="44" customFormat="1" ht="30" customHeight="1" thickBot="1" x14ac:dyDescent="0.3">
      <c r="A19" s="13"/>
      <c r="B19" s="60" t="s">
        <v>35</v>
      </c>
      <c r="C19" s="61" t="s">
        <v>34</v>
      </c>
      <c r="D19" s="62">
        <v>1</v>
      </c>
      <c r="E19" s="63">
        <f>F18+1</f>
        <v>46161</v>
      </c>
      <c r="F19" s="63">
        <f>E19+2</f>
        <v>46163</v>
      </c>
      <c r="G19" s="17"/>
      <c r="H19" s="5">
        <f t="shared" si="5"/>
        <v>3</v>
      </c>
      <c r="I19" s="49"/>
      <c r="J19" s="49"/>
      <c r="K19" s="49"/>
      <c r="L19" s="49"/>
      <c r="M19" s="49"/>
      <c r="N19" s="49"/>
      <c r="O19" s="49"/>
      <c r="P19" s="49"/>
      <c r="Q19" s="49"/>
      <c r="R19" s="49"/>
      <c r="S19" s="49"/>
      <c r="T19" s="49"/>
      <c r="U19" s="49"/>
      <c r="V19" s="49"/>
      <c r="W19" s="49"/>
      <c r="X19" s="49"/>
      <c r="Y19" s="49"/>
      <c r="Z19" s="49"/>
      <c r="AA19" s="49"/>
      <c r="AB19" s="49"/>
      <c r="AC19" s="49"/>
      <c r="AD19" s="49"/>
      <c r="AE19" s="49"/>
      <c r="AF19" s="49"/>
      <c r="AG19" s="49"/>
      <c r="AH19" s="49"/>
      <c r="AI19" s="49"/>
      <c r="AJ19" s="49"/>
      <c r="AK19" s="49"/>
      <c r="AL19" s="49"/>
      <c r="AM19" s="49"/>
      <c r="AN19" s="49"/>
      <c r="AO19" s="49"/>
      <c r="AP19" s="49"/>
      <c r="AQ19" s="49"/>
      <c r="AR19" s="49"/>
      <c r="AS19" s="49"/>
      <c r="AT19" s="49"/>
      <c r="AU19" s="49"/>
      <c r="AV19" s="49"/>
      <c r="AW19" s="49"/>
      <c r="AX19" s="49"/>
      <c r="AY19" s="49"/>
      <c r="AZ19" s="49"/>
      <c r="BA19" s="49"/>
      <c r="BB19" s="49"/>
      <c r="BC19" s="49"/>
      <c r="BD19" s="49"/>
      <c r="BE19" s="49"/>
      <c r="BF19" s="49"/>
      <c r="BG19" s="49"/>
      <c r="BH19" s="49"/>
      <c r="BI19" s="49"/>
      <c r="BJ19" s="49"/>
      <c r="BK19" s="49"/>
      <c r="BL19" s="49"/>
    </row>
    <row r="20" spans="1:64" s="44" customFormat="1" ht="30" customHeight="1" thickBot="1" x14ac:dyDescent="0.3">
      <c r="A20" s="13"/>
      <c r="B20" s="60" t="s">
        <v>38</v>
      </c>
      <c r="C20" s="61" t="s">
        <v>34</v>
      </c>
      <c r="D20" s="62">
        <v>1</v>
      </c>
      <c r="E20" s="63">
        <f>F19</f>
        <v>46163</v>
      </c>
      <c r="F20" s="63">
        <f>E20+0</f>
        <v>46163</v>
      </c>
      <c r="G20" s="17"/>
      <c r="H20" s="5">
        <f t="shared" si="5"/>
        <v>1</v>
      </c>
      <c r="I20" s="49"/>
      <c r="J20" s="49"/>
      <c r="K20" s="49"/>
      <c r="L20" s="49"/>
      <c r="M20" s="49"/>
      <c r="N20" s="49"/>
      <c r="O20" s="49"/>
      <c r="P20" s="49"/>
      <c r="Q20" s="49"/>
      <c r="R20" s="49"/>
      <c r="S20" s="49"/>
      <c r="T20" s="49"/>
      <c r="U20" s="49"/>
      <c r="V20" s="49"/>
      <c r="W20" s="49"/>
      <c r="X20" s="49"/>
      <c r="Y20" s="54"/>
      <c r="Z20" s="49"/>
      <c r="AA20" s="49"/>
      <c r="AB20" s="49"/>
      <c r="AC20" s="49"/>
      <c r="AD20" s="49"/>
      <c r="AE20" s="49"/>
      <c r="AF20" s="49"/>
      <c r="AG20" s="49"/>
      <c r="AH20" s="49"/>
      <c r="AI20" s="49"/>
      <c r="AJ20" s="49"/>
      <c r="AK20" s="49"/>
      <c r="AL20" s="49"/>
      <c r="AM20" s="49"/>
      <c r="AN20" s="49"/>
      <c r="AO20" s="49"/>
      <c r="AP20" s="49"/>
      <c r="AQ20" s="49"/>
      <c r="AR20" s="49"/>
      <c r="AS20" s="49"/>
      <c r="AT20" s="49"/>
      <c r="AU20" s="49"/>
      <c r="AV20" s="49"/>
      <c r="AW20" s="49"/>
      <c r="AX20" s="49"/>
      <c r="AY20" s="49"/>
      <c r="AZ20" s="49"/>
      <c r="BA20" s="49"/>
      <c r="BB20" s="49"/>
      <c r="BC20" s="49"/>
      <c r="BD20" s="49"/>
      <c r="BE20" s="49"/>
      <c r="BF20" s="49"/>
      <c r="BG20" s="49"/>
      <c r="BH20" s="49"/>
      <c r="BI20" s="49"/>
      <c r="BJ20" s="49"/>
      <c r="BK20" s="49"/>
      <c r="BL20" s="49"/>
    </row>
    <row r="21" spans="1:64" s="44" customFormat="1" ht="30" customHeight="1" thickBot="1" x14ac:dyDescent="0.3">
      <c r="A21" s="13"/>
      <c r="B21" s="64" t="s">
        <v>39</v>
      </c>
      <c r="C21" s="65"/>
      <c r="D21" s="66"/>
      <c r="E21" s="67"/>
      <c r="F21" s="68"/>
      <c r="G21" s="17"/>
      <c r="H21" s="5" t="str">
        <f t="shared" si="5"/>
        <v/>
      </c>
      <c r="I21" s="69"/>
      <c r="J21" s="69"/>
      <c r="K21" s="69"/>
      <c r="L21" s="69"/>
      <c r="M21" s="69"/>
      <c r="N21" s="69"/>
      <c r="O21" s="69"/>
      <c r="P21" s="69"/>
      <c r="Q21" s="69"/>
      <c r="R21" s="69"/>
      <c r="S21" s="69"/>
      <c r="T21" s="69"/>
      <c r="U21" s="69"/>
      <c r="V21" s="69"/>
      <c r="W21" s="69"/>
      <c r="X21" s="69"/>
      <c r="Y21" s="69"/>
      <c r="Z21" s="69"/>
      <c r="AA21" s="69"/>
      <c r="AB21" s="69"/>
      <c r="AC21" s="69"/>
      <c r="AD21" s="69"/>
      <c r="AE21" s="69"/>
      <c r="AF21" s="69"/>
      <c r="AG21" s="69"/>
      <c r="AH21" s="69"/>
      <c r="AI21" s="69"/>
      <c r="AJ21" s="69"/>
      <c r="AK21" s="69"/>
      <c r="AL21" s="69"/>
      <c r="AM21" s="69"/>
      <c r="AN21" s="69"/>
      <c r="AO21" s="69"/>
      <c r="AP21" s="69"/>
      <c r="AQ21" s="69"/>
      <c r="AR21" s="69"/>
      <c r="AS21" s="69"/>
      <c r="AT21" s="69"/>
      <c r="AU21" s="69"/>
      <c r="AV21" s="69"/>
      <c r="AW21" s="69"/>
      <c r="AX21" s="69"/>
      <c r="AY21" s="69"/>
      <c r="AZ21" s="69"/>
      <c r="BA21" s="69"/>
      <c r="BB21" s="69"/>
      <c r="BC21" s="69"/>
      <c r="BD21" s="69"/>
      <c r="BE21" s="69"/>
      <c r="BF21" s="69"/>
      <c r="BG21" s="69"/>
      <c r="BH21" s="69"/>
      <c r="BI21" s="69"/>
      <c r="BJ21" s="69"/>
      <c r="BK21" s="69"/>
      <c r="BL21" s="69"/>
    </row>
    <row r="22" spans="1:64" s="44" customFormat="1" ht="30" customHeight="1" thickBot="1" x14ac:dyDescent="0.3">
      <c r="A22" s="13"/>
      <c r="B22" s="70" t="s">
        <v>40</v>
      </c>
      <c r="C22" s="71" t="s">
        <v>29</v>
      </c>
      <c r="D22" s="72">
        <v>1</v>
      </c>
      <c r="E22" s="73">
        <f>E17</f>
        <v>46154</v>
      </c>
      <c r="F22" s="73">
        <f>E22+7</f>
        <v>46161</v>
      </c>
      <c r="G22" s="17"/>
      <c r="H22" s="5">
        <f t="shared" si="5"/>
        <v>8</v>
      </c>
      <c r="I22" s="49"/>
      <c r="J22" s="49"/>
      <c r="K22" s="49"/>
      <c r="L22" s="49"/>
      <c r="M22" s="49"/>
      <c r="N22" s="49"/>
      <c r="O22" s="49"/>
      <c r="P22" s="49"/>
      <c r="Q22" s="49"/>
      <c r="R22" s="49"/>
      <c r="S22" s="49"/>
      <c r="T22" s="49"/>
      <c r="U22" s="49"/>
      <c r="V22" s="49"/>
      <c r="W22" s="49"/>
      <c r="X22" s="49"/>
      <c r="Y22" s="49"/>
      <c r="Z22" s="49"/>
      <c r="AA22" s="49"/>
      <c r="AB22" s="49"/>
      <c r="AC22" s="49"/>
      <c r="AD22" s="49"/>
      <c r="AE22" s="49"/>
      <c r="AF22" s="49"/>
      <c r="AG22" s="49"/>
      <c r="AH22" s="49"/>
      <c r="AI22" s="49"/>
      <c r="AJ22" s="49"/>
      <c r="AK22" s="49"/>
      <c r="AL22" s="49"/>
      <c r="AM22" s="49"/>
      <c r="AN22" s="49"/>
      <c r="AO22" s="49"/>
      <c r="AP22" s="49"/>
      <c r="AQ22" s="49"/>
      <c r="AR22" s="49"/>
      <c r="AS22" s="49"/>
      <c r="AT22" s="49"/>
      <c r="AU22" s="49"/>
      <c r="AV22" s="49"/>
      <c r="AW22" s="49"/>
      <c r="AX22" s="49"/>
      <c r="AY22" s="49"/>
      <c r="AZ22" s="49"/>
      <c r="BA22" s="49"/>
      <c r="BB22" s="49"/>
      <c r="BC22" s="49"/>
      <c r="BD22" s="49"/>
      <c r="BE22" s="49"/>
      <c r="BF22" s="49"/>
      <c r="BG22" s="49"/>
      <c r="BH22" s="49"/>
      <c r="BI22" s="49"/>
      <c r="BJ22" s="49"/>
      <c r="BK22" s="49"/>
      <c r="BL22" s="49"/>
    </row>
    <row r="23" spans="1:64" s="44" customFormat="1" ht="30" customHeight="1" thickBot="1" x14ac:dyDescent="0.3">
      <c r="A23" s="13"/>
      <c r="B23" s="70" t="s">
        <v>41</v>
      </c>
      <c r="C23" s="71" t="s">
        <v>29</v>
      </c>
      <c r="D23" s="72">
        <v>1</v>
      </c>
      <c r="E23" s="73">
        <f>F18+1</f>
        <v>46161</v>
      </c>
      <c r="F23" s="73">
        <f>E23+5</f>
        <v>46166</v>
      </c>
      <c r="G23" s="17"/>
      <c r="H23" s="5">
        <f t="shared" si="5"/>
        <v>6</v>
      </c>
      <c r="I23" s="49"/>
      <c r="J23" s="49"/>
      <c r="K23" s="49"/>
      <c r="L23" s="49"/>
      <c r="M23" s="49"/>
      <c r="N23" s="49"/>
      <c r="O23" s="49"/>
      <c r="P23" s="49"/>
      <c r="Q23" s="49"/>
      <c r="R23" s="49"/>
      <c r="S23" s="49"/>
      <c r="T23" s="49"/>
      <c r="U23" s="49"/>
      <c r="V23" s="49"/>
      <c r="W23" s="49"/>
      <c r="X23" s="49"/>
      <c r="Y23" s="49"/>
      <c r="Z23" s="49"/>
      <c r="AA23" s="49"/>
      <c r="AB23" s="49"/>
      <c r="AC23" s="49"/>
      <c r="AD23" s="49"/>
      <c r="AE23" s="49"/>
      <c r="AF23" s="49"/>
      <c r="AG23" s="49"/>
      <c r="AH23" s="49"/>
      <c r="AI23" s="49"/>
      <c r="AJ23" s="49"/>
      <c r="AK23" s="49"/>
      <c r="AL23" s="49"/>
      <c r="AM23" s="49"/>
      <c r="AN23" s="49"/>
      <c r="AO23" s="49"/>
      <c r="AP23" s="49"/>
      <c r="AQ23" s="49"/>
      <c r="AR23" s="49"/>
      <c r="AS23" s="49"/>
      <c r="AT23" s="49"/>
      <c r="AU23" s="49"/>
      <c r="AV23" s="49"/>
      <c r="AW23" s="49"/>
      <c r="AX23" s="49"/>
      <c r="AY23" s="49"/>
      <c r="AZ23" s="49"/>
      <c r="BA23" s="49"/>
      <c r="BB23" s="49"/>
      <c r="BC23" s="49"/>
      <c r="BD23" s="49"/>
      <c r="BE23" s="49"/>
      <c r="BF23" s="49"/>
      <c r="BG23" s="49"/>
      <c r="BH23" s="49"/>
      <c r="BI23" s="49"/>
      <c r="BJ23" s="49"/>
      <c r="BK23" s="49"/>
      <c r="BL23" s="49"/>
    </row>
    <row r="24" spans="1:64" s="44" customFormat="1" ht="30" customHeight="1" thickBot="1" x14ac:dyDescent="0.3">
      <c r="A24" s="13"/>
      <c r="B24" s="70" t="s">
        <v>42</v>
      </c>
      <c r="C24" s="71" t="s">
        <v>55</v>
      </c>
      <c r="D24" s="72">
        <v>1</v>
      </c>
      <c r="E24" s="73">
        <f>F19+1</f>
        <v>46164</v>
      </c>
      <c r="F24" s="73">
        <f>E24+2</f>
        <v>46166</v>
      </c>
      <c r="G24" s="17"/>
      <c r="H24" s="5">
        <f t="shared" si="5"/>
        <v>3</v>
      </c>
      <c r="I24" s="49"/>
      <c r="J24" s="49"/>
      <c r="K24" s="49"/>
      <c r="L24" s="49"/>
      <c r="M24" s="49"/>
      <c r="N24" s="49"/>
      <c r="O24" s="49"/>
      <c r="P24" s="49"/>
      <c r="Q24" s="49"/>
      <c r="R24" s="49"/>
      <c r="S24" s="49"/>
      <c r="T24" s="49"/>
      <c r="U24" s="49"/>
      <c r="V24" s="49"/>
      <c r="W24" s="49"/>
      <c r="X24" s="49"/>
      <c r="Y24" s="49"/>
      <c r="Z24" s="49"/>
      <c r="AA24" s="49"/>
      <c r="AB24" s="49"/>
      <c r="AC24" s="49"/>
      <c r="AD24" s="49"/>
      <c r="AE24" s="49"/>
      <c r="AF24" s="49"/>
      <c r="AG24" s="49"/>
      <c r="AH24" s="49"/>
      <c r="AI24" s="49"/>
      <c r="AJ24" s="49"/>
      <c r="AK24" s="49"/>
      <c r="AL24" s="49"/>
      <c r="AM24" s="49"/>
      <c r="AN24" s="49"/>
      <c r="AO24" s="49"/>
      <c r="AP24" s="49"/>
      <c r="AQ24" s="49"/>
      <c r="AR24" s="49"/>
      <c r="AS24" s="49"/>
      <c r="AT24" s="49"/>
      <c r="AU24" s="49"/>
      <c r="AV24" s="49"/>
      <c r="AW24" s="49"/>
      <c r="AX24" s="49"/>
      <c r="AY24" s="49"/>
      <c r="AZ24" s="49"/>
      <c r="BA24" s="49"/>
      <c r="BB24" s="49"/>
      <c r="BC24" s="49"/>
      <c r="BD24" s="49"/>
      <c r="BE24" s="49"/>
      <c r="BF24" s="49"/>
      <c r="BG24" s="49"/>
      <c r="BH24" s="49"/>
      <c r="BI24" s="49"/>
      <c r="BJ24" s="49"/>
      <c r="BK24" s="49"/>
      <c r="BL24" s="49"/>
    </row>
    <row r="25" spans="1:64" s="44" customFormat="1" ht="30" customHeight="1" thickBot="1" x14ac:dyDescent="0.3">
      <c r="A25" s="13"/>
      <c r="B25" s="70" t="s">
        <v>43</v>
      </c>
      <c r="C25" s="71" t="s">
        <v>55</v>
      </c>
      <c r="D25" s="72">
        <v>1</v>
      </c>
      <c r="E25" s="73">
        <f>F19+1</f>
        <v>46164</v>
      </c>
      <c r="F25" s="73">
        <f>E25+2</f>
        <v>46166</v>
      </c>
      <c r="G25" s="17"/>
      <c r="H25" s="5">
        <f t="shared" si="5"/>
        <v>3</v>
      </c>
      <c r="I25" s="49"/>
      <c r="J25" s="49"/>
      <c r="K25" s="49"/>
      <c r="L25" s="49"/>
      <c r="M25" s="49"/>
      <c r="N25" s="49"/>
      <c r="O25" s="49"/>
      <c r="P25" s="49"/>
      <c r="Q25" s="49"/>
      <c r="R25" s="49"/>
      <c r="S25" s="49"/>
      <c r="T25" s="49"/>
      <c r="U25" s="49"/>
      <c r="V25" s="49"/>
      <c r="W25" s="49"/>
      <c r="X25" s="49"/>
      <c r="Y25" s="49"/>
      <c r="Z25" s="49"/>
      <c r="AA25" s="49"/>
      <c r="AB25" s="49"/>
      <c r="AC25" s="49"/>
      <c r="AD25" s="49"/>
      <c r="AE25" s="49"/>
      <c r="AF25" s="49"/>
      <c r="AG25" s="49"/>
      <c r="AH25" s="49"/>
      <c r="AI25" s="49"/>
      <c r="AJ25" s="49"/>
      <c r="AK25" s="49"/>
      <c r="AL25" s="49"/>
      <c r="AM25" s="49"/>
      <c r="AN25" s="49"/>
      <c r="AO25" s="49"/>
      <c r="AP25" s="49"/>
      <c r="AQ25" s="49"/>
      <c r="AR25" s="49"/>
      <c r="AS25" s="49"/>
      <c r="AT25" s="49"/>
      <c r="AU25" s="49"/>
      <c r="AV25" s="49"/>
      <c r="AW25" s="49"/>
      <c r="AX25" s="49"/>
      <c r="AY25" s="49"/>
      <c r="AZ25" s="49"/>
      <c r="BA25" s="49"/>
      <c r="BB25" s="49"/>
      <c r="BC25" s="49"/>
      <c r="BD25" s="49"/>
      <c r="BE25" s="49"/>
      <c r="BF25" s="49"/>
      <c r="BG25" s="49"/>
      <c r="BH25" s="49"/>
      <c r="BI25" s="49"/>
      <c r="BJ25" s="49"/>
      <c r="BK25" s="49"/>
      <c r="BL25" s="49"/>
    </row>
    <row r="26" spans="1:64" s="44" customFormat="1" ht="30" customHeight="1" thickBot="1" x14ac:dyDescent="0.3">
      <c r="A26" s="13"/>
      <c r="B26" s="70" t="s">
        <v>44</v>
      </c>
      <c r="C26" s="71" t="s">
        <v>26</v>
      </c>
      <c r="D26" s="72">
        <v>1</v>
      </c>
      <c r="E26" s="73">
        <f>E23</f>
        <v>46161</v>
      </c>
      <c r="F26" s="73">
        <f>E26+5</f>
        <v>46166</v>
      </c>
      <c r="G26" s="17"/>
      <c r="H26" s="5">
        <f t="shared" si="5"/>
        <v>6</v>
      </c>
      <c r="I26" s="49"/>
      <c r="J26" s="49"/>
      <c r="K26" s="49"/>
      <c r="L26" s="49"/>
      <c r="M26" s="49"/>
      <c r="N26" s="49"/>
      <c r="O26" s="49"/>
      <c r="P26" s="49"/>
      <c r="Q26" s="49"/>
      <c r="R26" s="49"/>
      <c r="S26" s="49"/>
      <c r="T26" s="49"/>
      <c r="U26" s="49"/>
      <c r="V26" s="49"/>
      <c r="W26" s="49"/>
      <c r="X26" s="49"/>
      <c r="Y26" s="49"/>
      <c r="Z26" s="49"/>
      <c r="AA26" s="49"/>
      <c r="AB26" s="49"/>
      <c r="AC26" s="49"/>
      <c r="AD26" s="49"/>
      <c r="AE26" s="49"/>
      <c r="AF26" s="49"/>
      <c r="AG26" s="49"/>
      <c r="AH26" s="49"/>
      <c r="AI26" s="49"/>
      <c r="AJ26" s="49"/>
      <c r="AK26" s="49"/>
      <c r="AL26" s="49"/>
      <c r="AM26" s="49"/>
      <c r="AN26" s="49"/>
      <c r="AO26" s="49"/>
      <c r="AP26" s="49"/>
      <c r="AQ26" s="49"/>
      <c r="AR26" s="49"/>
      <c r="AS26" s="49"/>
      <c r="AT26" s="49"/>
      <c r="AU26" s="49"/>
      <c r="AV26" s="49"/>
      <c r="AW26" s="49"/>
      <c r="AX26" s="49"/>
      <c r="AY26" s="49"/>
      <c r="AZ26" s="49"/>
      <c r="BA26" s="49"/>
      <c r="BB26" s="49"/>
      <c r="BC26" s="49"/>
      <c r="BD26" s="49"/>
      <c r="BE26" s="49"/>
      <c r="BF26" s="49"/>
      <c r="BG26" s="49"/>
      <c r="BH26" s="49"/>
      <c r="BI26" s="49"/>
      <c r="BJ26" s="49"/>
      <c r="BK26" s="49"/>
      <c r="BL26" s="49"/>
    </row>
    <row r="27" spans="1:64" s="44" customFormat="1" ht="30" customHeight="1" thickBot="1" x14ac:dyDescent="0.3">
      <c r="A27" s="13"/>
      <c r="B27" s="74" t="s">
        <v>45</v>
      </c>
      <c r="C27" s="75"/>
      <c r="D27" s="76"/>
      <c r="E27" s="77"/>
      <c r="F27" s="78"/>
      <c r="G27" s="17"/>
      <c r="H27" s="5" t="str">
        <f t="shared" si="5"/>
        <v/>
      </c>
      <c r="I27" s="79"/>
      <c r="J27" s="79"/>
      <c r="K27" s="79"/>
      <c r="L27" s="79"/>
      <c r="M27" s="79"/>
      <c r="N27" s="79"/>
      <c r="O27" s="79"/>
      <c r="P27" s="79"/>
      <c r="Q27" s="79"/>
      <c r="R27" s="79"/>
      <c r="S27" s="79"/>
      <c r="T27" s="79"/>
      <c r="U27" s="79"/>
      <c r="V27" s="79"/>
      <c r="W27" s="79"/>
      <c r="X27" s="79"/>
      <c r="Y27" s="79"/>
      <c r="Z27" s="79"/>
      <c r="AA27" s="79"/>
      <c r="AB27" s="79"/>
      <c r="AC27" s="79"/>
      <c r="AD27" s="79"/>
      <c r="AE27" s="79"/>
      <c r="AF27" s="79"/>
      <c r="AG27" s="79"/>
      <c r="AH27" s="79"/>
      <c r="AI27" s="79"/>
      <c r="AJ27" s="79"/>
      <c r="AK27" s="79"/>
      <c r="AL27" s="79"/>
      <c r="AM27" s="79"/>
      <c r="AN27" s="79"/>
      <c r="AO27" s="79"/>
      <c r="AP27" s="79"/>
      <c r="AQ27" s="79"/>
      <c r="AR27" s="79"/>
      <c r="AS27" s="79"/>
      <c r="AT27" s="79"/>
      <c r="AU27" s="79"/>
      <c r="AV27" s="79"/>
      <c r="AW27" s="79"/>
      <c r="AX27" s="79"/>
      <c r="AY27" s="79"/>
      <c r="AZ27" s="79"/>
      <c r="BA27" s="79"/>
      <c r="BB27" s="79"/>
      <c r="BC27" s="79"/>
      <c r="BD27" s="79"/>
      <c r="BE27" s="79"/>
      <c r="BF27" s="79"/>
      <c r="BG27" s="79"/>
      <c r="BH27" s="79"/>
      <c r="BI27" s="79"/>
      <c r="BJ27" s="79"/>
      <c r="BK27" s="79"/>
      <c r="BL27" s="79"/>
    </row>
    <row r="28" spans="1:64" s="44" customFormat="1" ht="30" customHeight="1" thickBot="1" x14ac:dyDescent="0.3">
      <c r="A28" s="13"/>
      <c r="B28" s="80" t="s">
        <v>47</v>
      </c>
      <c r="C28" s="81" t="s">
        <v>23</v>
      </c>
      <c r="D28" s="82">
        <v>1</v>
      </c>
      <c r="E28" s="83">
        <f>E19</f>
        <v>46161</v>
      </c>
      <c r="F28" s="83">
        <f>E28+6</f>
        <v>46167</v>
      </c>
      <c r="G28" s="17"/>
      <c r="H28" s="5">
        <f t="shared" si="5"/>
        <v>7</v>
      </c>
      <c r="I28" s="49"/>
      <c r="J28" s="49"/>
      <c r="K28" s="49"/>
      <c r="L28" s="49"/>
      <c r="M28" s="49"/>
      <c r="N28" s="49"/>
      <c r="O28" s="49"/>
      <c r="P28" s="49"/>
      <c r="Q28" s="49"/>
      <c r="R28" s="49"/>
      <c r="S28" s="49"/>
      <c r="T28" s="49"/>
      <c r="U28" s="49"/>
      <c r="V28" s="49"/>
      <c r="W28" s="49"/>
      <c r="X28" s="49"/>
      <c r="Y28" s="49"/>
      <c r="Z28" s="49"/>
      <c r="AA28" s="49"/>
      <c r="AB28" s="49"/>
      <c r="AC28" s="49"/>
      <c r="AD28" s="49"/>
      <c r="AE28" s="49"/>
      <c r="AF28" s="49"/>
      <c r="AG28" s="49"/>
      <c r="AH28" s="49"/>
      <c r="AI28" s="49"/>
      <c r="AJ28" s="49"/>
      <c r="AK28" s="49"/>
      <c r="AL28" s="49"/>
      <c r="AM28" s="49"/>
      <c r="AN28" s="49"/>
      <c r="AO28" s="49"/>
      <c r="AP28" s="49"/>
      <c r="AQ28" s="49"/>
      <c r="AR28" s="49"/>
      <c r="AS28" s="49"/>
      <c r="AT28" s="49"/>
      <c r="AU28" s="49"/>
      <c r="AV28" s="49"/>
      <c r="AW28" s="49"/>
      <c r="AX28" s="49"/>
      <c r="AY28" s="49"/>
      <c r="AZ28" s="49"/>
      <c r="BA28" s="49"/>
      <c r="BB28" s="49"/>
      <c r="BC28" s="49"/>
      <c r="BD28" s="49"/>
      <c r="BE28" s="49"/>
      <c r="BF28" s="49"/>
      <c r="BG28" s="49"/>
      <c r="BH28" s="49"/>
      <c r="BI28" s="49"/>
      <c r="BJ28" s="49"/>
      <c r="BK28" s="49"/>
      <c r="BL28" s="49"/>
    </row>
    <row r="29" spans="1:64" s="44" customFormat="1" ht="30" customHeight="1" thickBot="1" x14ac:dyDescent="0.3">
      <c r="A29" s="13"/>
      <c r="B29" s="80" t="s">
        <v>46</v>
      </c>
      <c r="C29" s="81" t="s">
        <v>23</v>
      </c>
      <c r="D29" s="82">
        <v>1</v>
      </c>
      <c r="E29" s="83">
        <f>F26</f>
        <v>46166</v>
      </c>
      <c r="F29" s="83">
        <f>E29+0</f>
        <v>46166</v>
      </c>
      <c r="G29" s="17"/>
      <c r="H29" s="5">
        <f t="shared" si="5"/>
        <v>1</v>
      </c>
      <c r="I29" s="49"/>
      <c r="J29" s="49"/>
      <c r="K29" s="49"/>
      <c r="L29" s="49"/>
      <c r="M29" s="49"/>
      <c r="N29" s="49"/>
      <c r="O29" s="49"/>
      <c r="P29" s="49"/>
      <c r="Q29" s="49"/>
      <c r="R29" s="49"/>
      <c r="S29" s="49"/>
      <c r="T29" s="49"/>
      <c r="U29" s="49"/>
      <c r="V29" s="49"/>
      <c r="W29" s="49"/>
      <c r="X29" s="49"/>
      <c r="Y29" s="49"/>
      <c r="Z29" s="49"/>
      <c r="AA29" s="49"/>
      <c r="AB29" s="49"/>
      <c r="AC29" s="49"/>
      <c r="AD29" s="49"/>
      <c r="AE29" s="49"/>
      <c r="AF29" s="49"/>
      <c r="AG29" s="49"/>
      <c r="AH29" s="49"/>
      <c r="AI29" s="49"/>
      <c r="AJ29" s="49"/>
      <c r="AK29" s="49"/>
      <c r="AL29" s="49"/>
      <c r="AM29" s="49"/>
      <c r="AN29" s="49"/>
      <c r="AO29" s="49"/>
      <c r="AP29" s="49"/>
      <c r="AQ29" s="49"/>
      <c r="AR29" s="49"/>
      <c r="AS29" s="49"/>
      <c r="AT29" s="49"/>
      <c r="AU29" s="49"/>
      <c r="AV29" s="49"/>
      <c r="AW29" s="49"/>
      <c r="AX29" s="49"/>
      <c r="AY29" s="49"/>
      <c r="AZ29" s="49"/>
      <c r="BA29" s="49"/>
      <c r="BB29" s="49"/>
      <c r="BC29" s="49"/>
      <c r="BD29" s="49"/>
      <c r="BE29" s="49"/>
      <c r="BF29" s="49"/>
      <c r="BG29" s="49"/>
      <c r="BH29" s="49"/>
      <c r="BI29" s="49"/>
      <c r="BJ29" s="49"/>
      <c r="BK29" s="49"/>
      <c r="BL29" s="49"/>
    </row>
    <row r="30" spans="1:64" s="44" customFormat="1" ht="30" customHeight="1" thickBot="1" x14ac:dyDescent="0.3">
      <c r="A30" s="13"/>
      <c r="B30" s="80" t="s">
        <v>48</v>
      </c>
      <c r="C30" s="81" t="s">
        <v>23</v>
      </c>
      <c r="D30" s="82">
        <v>1</v>
      </c>
      <c r="E30" s="83">
        <f>E29</f>
        <v>46166</v>
      </c>
      <c r="F30" s="83">
        <f>E30</f>
        <v>46166</v>
      </c>
      <c r="G30" s="17"/>
      <c r="H30" s="5">
        <f t="shared" si="5"/>
        <v>1</v>
      </c>
      <c r="I30" s="49"/>
      <c r="J30" s="49"/>
      <c r="K30" s="49"/>
      <c r="L30" s="49"/>
      <c r="M30" s="49"/>
      <c r="N30" s="49"/>
      <c r="O30" s="49"/>
      <c r="P30" s="49"/>
      <c r="Q30" s="49"/>
      <c r="R30" s="49"/>
      <c r="S30" s="49"/>
      <c r="T30" s="49"/>
      <c r="U30" s="49"/>
      <c r="V30" s="49"/>
      <c r="W30" s="49"/>
      <c r="X30" s="49"/>
      <c r="Y30" s="49"/>
      <c r="Z30" s="49"/>
      <c r="AA30" s="49"/>
      <c r="AB30" s="49"/>
      <c r="AC30" s="49"/>
      <c r="AD30" s="49"/>
      <c r="AE30" s="49"/>
      <c r="AF30" s="49"/>
      <c r="AG30" s="49"/>
      <c r="AH30" s="49"/>
      <c r="AI30" s="49"/>
      <c r="AJ30" s="49"/>
      <c r="AK30" s="49"/>
      <c r="AL30" s="49"/>
      <c r="AM30" s="49"/>
      <c r="AN30" s="49"/>
      <c r="AO30" s="49"/>
      <c r="AP30" s="49"/>
      <c r="AQ30" s="49"/>
      <c r="AR30" s="49"/>
      <c r="AS30" s="49"/>
      <c r="AT30" s="49"/>
      <c r="AU30" s="49"/>
      <c r="AV30" s="49"/>
      <c r="AW30" s="49"/>
      <c r="AX30" s="49"/>
      <c r="AY30" s="49"/>
      <c r="AZ30" s="49"/>
      <c r="BA30" s="49"/>
      <c r="BB30" s="49"/>
      <c r="BC30" s="49"/>
      <c r="BD30" s="49"/>
      <c r="BE30" s="49"/>
      <c r="BF30" s="49"/>
      <c r="BG30" s="49"/>
      <c r="BH30" s="49"/>
      <c r="BI30" s="49"/>
      <c r="BJ30" s="49"/>
      <c r="BK30" s="49"/>
      <c r="BL30" s="49"/>
    </row>
    <row r="31" spans="1:64" s="44" customFormat="1" ht="30" customHeight="1" thickBot="1" x14ac:dyDescent="0.3">
      <c r="A31" s="13"/>
      <c r="B31" s="123" t="s">
        <v>49</v>
      </c>
      <c r="C31" s="124" t="s">
        <v>23</v>
      </c>
      <c r="D31" s="125"/>
      <c r="E31" s="126">
        <f>F30+2</f>
        <v>46168</v>
      </c>
      <c r="F31" s="126">
        <f>E31</f>
        <v>46168</v>
      </c>
      <c r="G31" s="120"/>
      <c r="H31" s="121">
        <f t="shared" si="5"/>
        <v>1</v>
      </c>
      <c r="I31" s="122"/>
      <c r="J31" s="122"/>
      <c r="K31" s="122"/>
      <c r="L31" s="122"/>
      <c r="M31" s="122"/>
      <c r="N31" s="122"/>
      <c r="O31" s="122"/>
      <c r="P31" s="122"/>
      <c r="Q31" s="122"/>
      <c r="R31" s="122"/>
      <c r="S31" s="122"/>
      <c r="T31" s="122"/>
      <c r="U31" s="122"/>
      <c r="V31" s="122"/>
      <c r="W31" s="122"/>
      <c r="X31" s="122"/>
      <c r="Y31" s="122"/>
      <c r="Z31" s="122"/>
      <c r="AA31" s="122"/>
      <c r="AB31" s="122"/>
      <c r="AC31" s="122"/>
      <c r="AD31" s="122"/>
      <c r="AE31" s="124"/>
      <c r="AF31" s="49"/>
      <c r="AG31" s="49"/>
      <c r="AH31" s="49"/>
      <c r="AI31" s="49"/>
      <c r="AJ31" s="49"/>
      <c r="AK31" s="49"/>
      <c r="AL31" s="49"/>
      <c r="AM31" s="49"/>
      <c r="AN31" s="49"/>
      <c r="AO31" s="49"/>
      <c r="AP31" s="49"/>
      <c r="AQ31" s="49"/>
      <c r="AR31" s="49"/>
      <c r="AS31" s="49"/>
      <c r="AT31" s="49"/>
      <c r="AU31" s="49"/>
      <c r="AV31" s="49"/>
      <c r="AW31" s="49"/>
      <c r="AX31" s="49"/>
      <c r="AY31" s="49"/>
      <c r="AZ31" s="49"/>
      <c r="BA31" s="49"/>
      <c r="BB31" s="49"/>
      <c r="BC31" s="49"/>
      <c r="BD31" s="49"/>
      <c r="BE31" s="49"/>
      <c r="BF31" s="49"/>
      <c r="BG31" s="49"/>
      <c r="BH31" s="49"/>
      <c r="BI31" s="49"/>
      <c r="BJ31" s="49"/>
      <c r="BK31" s="49"/>
      <c r="BL31" s="49"/>
    </row>
    <row r="32" spans="1:64" s="44" customFormat="1" ht="30" customHeight="1" thickBot="1" x14ac:dyDescent="0.3">
      <c r="A32" s="13"/>
      <c r="B32" s="84"/>
      <c r="C32" s="85"/>
      <c r="D32" s="86"/>
      <c r="E32" s="87"/>
      <c r="F32" s="87"/>
      <c r="G32" s="17"/>
      <c r="H32" s="5" t="str">
        <f t="shared" si="5"/>
        <v/>
      </c>
      <c r="I32" s="43"/>
      <c r="J32" s="43"/>
      <c r="K32" s="43"/>
      <c r="L32" s="43"/>
      <c r="M32" s="43"/>
      <c r="N32" s="43"/>
      <c r="O32" s="43"/>
      <c r="P32" s="43"/>
      <c r="Q32" s="43"/>
      <c r="R32" s="43"/>
      <c r="S32" s="43"/>
      <c r="T32" s="43"/>
      <c r="U32" s="43"/>
      <c r="V32" s="43"/>
      <c r="W32" s="43"/>
      <c r="X32" s="43"/>
      <c r="Y32" s="43"/>
      <c r="Z32" s="43"/>
      <c r="AA32" s="43"/>
      <c r="AB32" s="43"/>
      <c r="AC32" s="43"/>
      <c r="AD32" s="43"/>
      <c r="AE32" s="43"/>
      <c r="AF32" s="43"/>
      <c r="AG32" s="43"/>
      <c r="AH32" s="43"/>
      <c r="AI32" s="43"/>
      <c r="AJ32" s="43"/>
      <c r="AK32" s="43"/>
      <c r="AL32" s="43"/>
      <c r="AM32" s="43"/>
      <c r="AN32" s="43"/>
      <c r="AO32" s="43"/>
      <c r="AP32" s="43"/>
      <c r="AQ32" s="43"/>
      <c r="AR32" s="43"/>
      <c r="AS32" s="43"/>
      <c r="AT32" s="43"/>
      <c r="AU32" s="43"/>
      <c r="AV32" s="43"/>
      <c r="AW32" s="43"/>
      <c r="AX32" s="43"/>
      <c r="AY32" s="43"/>
      <c r="AZ32" s="43"/>
      <c r="BA32" s="43"/>
      <c r="BB32" s="43"/>
      <c r="BC32" s="43"/>
      <c r="BD32" s="43"/>
      <c r="BE32" s="43"/>
      <c r="BF32" s="43"/>
      <c r="BG32" s="43"/>
      <c r="BH32" s="43"/>
      <c r="BI32" s="43"/>
      <c r="BJ32" s="43"/>
      <c r="BK32" s="43"/>
      <c r="BL32" s="43"/>
    </row>
    <row r="33" spans="1:64" s="44" customFormat="1" ht="30" customHeight="1" thickBot="1" x14ac:dyDescent="0.3">
      <c r="A33" s="14"/>
      <c r="B33" s="88"/>
      <c r="C33" s="89"/>
      <c r="D33" s="90"/>
      <c r="E33" s="91"/>
      <c r="F33" s="92"/>
      <c r="G33" s="17"/>
      <c r="H33" s="6" t="str">
        <f t="shared" si="5"/>
        <v/>
      </c>
      <c r="I33" s="93"/>
      <c r="J33" s="93"/>
      <c r="K33" s="93"/>
      <c r="L33" s="93"/>
      <c r="M33" s="93"/>
      <c r="N33" s="93"/>
      <c r="O33" s="93"/>
      <c r="P33" s="93"/>
      <c r="Q33" s="93"/>
      <c r="R33" s="93"/>
      <c r="S33" s="93"/>
      <c r="T33" s="93"/>
      <c r="U33" s="93"/>
      <c r="V33" s="93"/>
      <c r="W33" s="93"/>
      <c r="X33" s="93"/>
      <c r="Y33" s="93"/>
      <c r="Z33" s="93"/>
      <c r="AA33" s="93"/>
      <c r="AB33" s="93"/>
      <c r="AC33" s="93"/>
      <c r="AD33" s="93"/>
      <c r="AE33" s="93"/>
      <c r="AF33" s="93"/>
      <c r="AG33" s="93"/>
      <c r="AH33" s="93"/>
      <c r="AI33" s="93"/>
      <c r="AJ33" s="93"/>
      <c r="AK33" s="93"/>
      <c r="AL33" s="93"/>
      <c r="AM33" s="93"/>
      <c r="AN33" s="93"/>
      <c r="AO33" s="93"/>
      <c r="AP33" s="93"/>
      <c r="AQ33" s="93"/>
      <c r="AR33" s="93"/>
      <c r="AS33" s="93"/>
      <c r="AT33" s="93"/>
      <c r="AU33" s="93"/>
      <c r="AV33" s="93"/>
      <c r="AW33" s="93"/>
      <c r="AX33" s="93"/>
      <c r="AY33" s="93"/>
      <c r="AZ33" s="93"/>
      <c r="BA33" s="93"/>
      <c r="BB33" s="93"/>
      <c r="BC33" s="93"/>
      <c r="BD33" s="93"/>
      <c r="BE33" s="93"/>
      <c r="BF33" s="93"/>
      <c r="BG33" s="93"/>
      <c r="BH33" s="93"/>
      <c r="BI33" s="93"/>
      <c r="BJ33" s="93"/>
      <c r="BK33" s="93"/>
      <c r="BL33" s="93"/>
    </row>
    <row r="34" spans="1:64" ht="30" customHeight="1" x14ac:dyDescent="0.25">
      <c r="G34" s="3"/>
    </row>
    <row r="35" spans="1:64" ht="30" customHeight="1" x14ac:dyDescent="0.25">
      <c r="C35" s="16"/>
      <c r="F35" s="15"/>
    </row>
    <row r="36" spans="1:64" ht="30" customHeight="1" x14ac:dyDescent="0.25">
      <c r="C36" s="4"/>
    </row>
  </sheetData>
  <mergeCells count="18">
    <mergeCell ref="BF5:BL5"/>
    <mergeCell ref="I5:O5"/>
    <mergeCell ref="P5:V5"/>
    <mergeCell ref="W5:AC5"/>
    <mergeCell ref="AD5:AJ5"/>
    <mergeCell ref="AK5:AQ5"/>
    <mergeCell ref="AR5:AX5"/>
    <mergeCell ref="AY5:BE5"/>
    <mergeCell ref="F6:F7"/>
    <mergeCell ref="Q2:Z2"/>
    <mergeCell ref="Q1:Z1"/>
    <mergeCell ref="I1:O1"/>
    <mergeCell ref="I2:O2"/>
    <mergeCell ref="A6:A7"/>
    <mergeCell ref="B6:B7"/>
    <mergeCell ref="C6:C7"/>
    <mergeCell ref="D6:D7"/>
    <mergeCell ref="E6:E7"/>
  </mergeCells>
  <conditionalFormatting sqref="D8:D33">
    <cfRule type="dataBar" priority="23">
      <dataBar>
        <cfvo type="num" val="0"/>
        <cfvo type="num" val="1"/>
        <color theme="0"/>
      </dataBar>
      <extLst>
        <ext xmlns:x14="http://schemas.microsoft.com/office/spreadsheetml/2009/9/main" uri="{B025F937-C7B1-47D3-B67F-A62EFF666E3E}">
          <x14:id>{B0389232-4C98-4A03-AD0E-39F63BAD1F53}</x14:id>
        </ext>
      </extLst>
    </cfRule>
  </conditionalFormatting>
  <conditionalFormatting sqref="I5:BL30 I31:AD31 AF31:BL31">
    <cfRule type="expression" dxfId="8" priority="1">
      <formula>AND(TODAY()&gt;=I$6, TODAY()&lt;J$6)</formula>
    </cfRule>
  </conditionalFormatting>
  <conditionalFormatting sqref="I10:BL15">
    <cfRule type="expression" dxfId="7" priority="6">
      <formula>AND(task_start&lt;=I$6,ROUNDDOWN((task_end-task_start+1)*task_progress,0)+task_start-1&gt;=I$6)</formula>
    </cfRule>
    <cfRule type="expression" dxfId="6" priority="7" stopIfTrue="1">
      <formula>AND(task_end&gt;=I$6,task_start&lt;J$6)</formula>
    </cfRule>
  </conditionalFormatting>
  <conditionalFormatting sqref="I17:BL20">
    <cfRule type="expression" dxfId="5" priority="4">
      <formula>AND(task_start&lt;=I$6,ROUNDDOWN((task_end-task_start+1)*task_progress,0)+task_start-1&gt;=I$6)</formula>
    </cfRule>
    <cfRule type="expression" dxfId="4" priority="5" stopIfTrue="1">
      <formula>AND(task_end&gt;=I$6,task_start&lt;J$6)</formula>
    </cfRule>
  </conditionalFormatting>
  <conditionalFormatting sqref="I22:BL26">
    <cfRule type="expression" dxfId="3" priority="2">
      <formula>AND(task_start&lt;=I$6,ROUNDDOWN((task_end-task_start+1)*task_progress,0)+task_start-1&gt;=I$6)</formula>
    </cfRule>
    <cfRule type="expression" dxfId="2" priority="3" stopIfTrue="1">
      <formula>AND(task_end&gt;=I$6,task_start&lt;J$6)</formula>
    </cfRule>
  </conditionalFormatting>
  <conditionalFormatting sqref="I28:BL30 I31:AD31 AF31:BL31">
    <cfRule type="expression" dxfId="1" priority="36">
      <formula>AND(task_start&lt;=I$6,ROUNDDOWN((task_end-task_start+1)*task_progress,0)+task_start-1&gt;=I$6)</formula>
    </cfRule>
    <cfRule type="expression" dxfId="0" priority="37" stopIfTrue="1">
      <formula>AND(task_end&gt;=I$6,task_start&lt;J$6)</formula>
    </cfRule>
  </conditionalFormatting>
  <dataValidations count="13">
    <dataValidation type="whole" operator="greaterThanOrEqual" allowBlank="1" showInputMessage="1" promptTitle="Display Week" prompt="Changing this number will scroll the Gantt Chart view." sqref="Q2:Q3" xr:uid="{00000000-0002-0000-0000-000000000000}">
      <formula1>1</formula1>
    </dataValidation>
    <dataValidation allowBlank="1" showInputMessage="1" showErrorMessage="1" prompt="Create a Project Schedule in this worksheet._x000a_Enter title of this project in cell B1. _x000a_Information on how to use this worksheet, including instructions for screen readers and the author of this workbook, is in the About worksheet._x000a_" sqref="A1" xr:uid="{D005F8F4-EA16-4627-8A05-1997BE425B88}"/>
    <dataValidation allowBlank="1" showInputMessage="1" showErrorMessage="1" prompt="Enter Company name in cel B2." sqref="A2:A3" xr:uid="{75F274B0-5B30-4CC0-A53C-C012C0845179}"/>
    <dataValidation allowBlank="1" showInputMessage="1" showErrorMessage="1" prompt="Enter the name of the Project Lead in cell C3. Enter the Project Start date in cell Q1. Project Start: label is in cell I1." sqref="A4" xr:uid="{EEA7C783-457F-401F-98B9-9035587B9210}"/>
    <dataValidation allowBlank="1" showInputMessage="1" showErrorMessage="1" prompt="The Display week in cell Q2 is the starting week to display in the project schedule in cell I4. The project start date is Week 1. To change the display week, enter a new week number in cell Q2._x000a__x000a_Start date for each week is auto calculated starting in I4." sqref="A5" xr:uid="{43382715-6BC7-4B19-A31B-4B13A11ED166}"/>
    <dataValidation allowBlank="1" showInputMessage="1" showErrorMessage="1" prompt="Cells I5 through BL5 contain the day number for the week represented in the cell block above each date and are auto calculated._x000a__x000a_Today's date is outlined from today's date in row 5 through the entire date column to the end of the project schedule." sqref="A6:A7" xr:uid="{7A3789A6-A3FB-43B6-A4F7-8C0AC564F67E}"/>
    <dataValidation allowBlank="1" showInputMessage="1" showErrorMessage="1" prompt="Cell B8 contains the Phase 1 sample title. Enter a new title in cell B8._x000a_To delete the phase and work only from tasks, simply delete this row." sqref="A9" xr:uid="{CEC78982-AFA8-419E-B0A2-676B709E5100}"/>
    <dataValidation allowBlank="1" showInputMessage="1" showErrorMessage="1" prompt="B9 contains the task name.  C9 is the assignee.  D9 is a progress bar that shades based on the number entered into the cell.  _x000a__x000a_E9 contains the start date and F9 contains the end date._x000a__x000a_The Gantt chart will fill in starting in cell I9 based on task dates." sqref="A10" xr:uid="{D870A2F6-6B07-4F5A-A81D-4BCCFADF8796}"/>
    <dataValidation allowBlank="1" showInputMessage="1" showErrorMessage="1" prompt="Rows 10 through 13 repeat the pattern from row 9. _x000a__x000a_Repeat the instructions from cell A9 for all task rows in this worksheet. _x000a__x000a_Continue entering tasks in cells A10 through A13 or go to cell A14 to learn more." sqref="A11" xr:uid="{872449A7-C3CC-45B6-BA90-B1AAD66BA0E5}"/>
    <dataValidation allowBlank="1" showInputMessage="1" showErrorMessage="1" prompt="Cell B14 contains the Phase 2 sample title. Enter a new title in cell B14._x000a_To delete the phase and work only from tasks, simply delete this row. To remove the phase, simply delete the row. Add tasks to previous phase by entering a new row above this one._x000a_" sqref="A16" xr:uid="{4F48FC41-E335-47F1-87AA-3333A52AD81C}"/>
    <dataValidation allowBlank="1" showInputMessage="1" showErrorMessage="1" prompt="Phase 3's sample block starts in cell B20." sqref="A21" xr:uid="{956902D1-D3B5-416D-BB69-9362D193BC0A}"/>
    <dataValidation allowBlank="1" showInputMessage="1" showErrorMessage="1" prompt="Phase 4's sample block starts in cell B26." sqref="A27" xr:uid="{DE54E5DE-526D-4D71-8D03-E99B4AB2FEE5}"/>
    <dataValidation allowBlank="1" showInputMessage="1" showErrorMessage="1" prompt="This row marks the end of the Project Schedule. DO NOT enter anything in this row. _x000a_Insert new rows ABOVE this one to continue building out your Project Schedule." sqref="A33" xr:uid="{79B9237E-4DD3-4E0F-8ED6-E0B695A99D96}"/>
  </dataValidations>
  <printOptions horizontalCentered="1"/>
  <pageMargins left="0.35" right="0.35" top="0.35" bottom="0.5" header="0.3" footer="0.3"/>
  <pageSetup scale="57" fitToHeight="0" orientation="landscape" r:id="rId1"/>
  <headerFooter differentFirst="1" scaleWithDoc="0">
    <oddFooter>Page &amp;P of &amp;N</oddFooter>
  </headerFooter>
  <extLst>
    <ext xmlns:x14="http://schemas.microsoft.com/office/spreadsheetml/2009/9/main" uri="{78C0D931-6437-407d-A8EE-F0AAD7539E65}">
      <x14:conditionalFormattings>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D8:D33</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4"/>
  <sheetViews>
    <sheetView showGridLines="0" zoomScaleNormal="100" workbookViewId="0"/>
  </sheetViews>
  <sheetFormatPr defaultColWidth="9" defaultRowHeight="13.2" x14ac:dyDescent="0.25"/>
  <cols>
    <col min="1" max="1" width="87" style="7" customWidth="1"/>
    <col min="2" max="16384" width="9" style="1"/>
  </cols>
  <sheetData>
    <row r="1" spans="1:2" ht="46.5" customHeight="1" x14ac:dyDescent="0.25"/>
    <row r="2" spans="1:2" s="9" customFormat="1" ht="15.6" x14ac:dyDescent="0.25">
      <c r="A2" s="96" t="s">
        <v>7</v>
      </c>
      <c r="B2" s="8"/>
    </row>
    <row r="3" spans="1:2" s="11" customFormat="1" ht="27" customHeight="1" x14ac:dyDescent="0.25">
      <c r="A3" s="97"/>
      <c r="B3" s="12"/>
    </row>
    <row r="4" spans="1:2" s="10" customFormat="1" ht="30" x14ac:dyDescent="0.7">
      <c r="A4" s="98" t="s">
        <v>6</v>
      </c>
    </row>
    <row r="5" spans="1:2" ht="74.25" customHeight="1" x14ac:dyDescent="0.25">
      <c r="A5" s="99" t="s">
        <v>14</v>
      </c>
    </row>
    <row r="6" spans="1:2" ht="26.25" customHeight="1" x14ac:dyDescent="0.25">
      <c r="A6" s="98" t="s">
        <v>17</v>
      </c>
    </row>
    <row r="7" spans="1:2" s="7" customFormat="1" ht="205.05" customHeight="1" x14ac:dyDescent="0.25">
      <c r="A7" s="100" t="s">
        <v>16</v>
      </c>
    </row>
    <row r="8" spans="1:2" s="10" customFormat="1" ht="30" x14ac:dyDescent="0.7">
      <c r="A8" s="98" t="s">
        <v>8</v>
      </c>
    </row>
    <row r="9" spans="1:2" ht="41.4" x14ac:dyDescent="0.25">
      <c r="A9" s="99" t="s">
        <v>15</v>
      </c>
    </row>
    <row r="10" spans="1:2" s="7" customFormat="1" ht="28.05" customHeight="1" x14ac:dyDescent="0.25">
      <c r="A10" s="101" t="s">
        <v>13</v>
      </c>
    </row>
    <row r="11" spans="1:2" s="10" customFormat="1" ht="30" x14ac:dyDescent="0.7">
      <c r="A11" s="98" t="s">
        <v>5</v>
      </c>
    </row>
    <row r="12" spans="1:2" ht="27.6" x14ac:dyDescent="0.25">
      <c r="A12" s="99" t="s">
        <v>12</v>
      </c>
    </row>
    <row r="13" spans="1:2" s="7" customFormat="1" ht="28.05" customHeight="1" x14ac:dyDescent="0.25">
      <c r="A13" s="101" t="s">
        <v>1</v>
      </c>
    </row>
    <row r="14" spans="1:2" s="10" customFormat="1" ht="30" x14ac:dyDescent="0.7">
      <c r="A14" s="98" t="s">
        <v>9</v>
      </c>
    </row>
    <row r="15" spans="1:2" ht="75" customHeight="1" x14ac:dyDescent="0.25">
      <c r="A15" s="99" t="s">
        <v>10</v>
      </c>
    </row>
    <row r="16" spans="1:2" ht="69" x14ac:dyDescent="0.25">
      <c r="A16" s="99" t="s">
        <v>11</v>
      </c>
    </row>
    <row r="17" spans="1:1" x14ac:dyDescent="0.25">
      <c r="A17" s="102"/>
    </row>
    <row r="18" spans="1:1" x14ac:dyDescent="0.25">
      <c r="A18" s="102"/>
    </row>
    <row r="19" spans="1:1" x14ac:dyDescent="0.25">
      <c r="A19" s="102"/>
    </row>
    <row r="20" spans="1:1" x14ac:dyDescent="0.25">
      <c r="A20" s="102"/>
    </row>
    <row r="21" spans="1:1" x14ac:dyDescent="0.25">
      <c r="A21" s="102"/>
    </row>
    <row r="22" spans="1:1" x14ac:dyDescent="0.25">
      <c r="A22" s="102"/>
    </row>
    <row r="23" spans="1:1" x14ac:dyDescent="0.25">
      <c r="A23" s="102"/>
    </row>
    <row r="24" spans="1:1" x14ac:dyDescent="0.25">
      <c r="A24" s="102"/>
    </row>
  </sheetData>
  <hyperlinks>
    <hyperlink ref="A13" r:id="rId1" xr:uid="{00000000-0004-0000-0100-000000000000}"/>
    <hyperlink ref="A10" r:id="rId2" xr:uid="{00000000-0004-0000-0100-000001000000}"/>
    <hyperlink ref="A2" r:id="rId3" xr:uid="{00000000-0004-0000-0100-000003000000}"/>
  </hyperlinks>
  <pageMargins left="0.5" right="0.5" top="0.5" bottom="0.5" header="0.3" footer="0.3"/>
  <pageSetup orientation="portrait" r:id="rId4"/>
  <drawing r:id="rId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8" ma:contentTypeDescription="Create a new document." ma:contentTypeScope="" ma:versionID="60f5a4f2d2b0abadcf532d48ebf9cb71">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7dd78129e6a1811f84807ad11c65153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element ref="ns2:MediaServiceSearchProperties" minOccurs="0"/>
                <xsd:element ref="ns2:MediaServiceDocTags" minOccurs="0"/>
                <xsd:element ref="ns2:MediaServiceObjectDetectorVersions" minOccurs="0"/>
                <xsd:element ref="ns2:MediaServiceSystem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DocTags" ma:index="30" nillable="true" ma:displayName="MediaServiceDocTags" ma:hidden="true" ma:internalName="MediaServiceDocTags" ma:readOnly="true">
      <xsd:simpleType>
        <xsd:restriction base="dms:Note"/>
      </xsd:simpleType>
    </xsd:element>
    <xsd:element name="MediaServiceObjectDetectorVersions" ma:index="31" nillable="true" ma:displayName="MediaServiceObjectDetectorVersions" ma:description="" ma:hidden="true" ma:indexed="true" ma:internalName="MediaServiceObjectDetectorVersions" ma:readOnly="true">
      <xsd:simpleType>
        <xsd:restriction base="dms:Text"/>
      </xsd:simpleType>
    </xsd:element>
    <xsd:element name="MediaServiceSystemTags" ma:index="32" nillable="true" ma:displayName="MediaServiceSystemTags" ma:hidden="true" ma:internalName="MediaServiceSystem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82239A0-E68C-493F-BEE6-C77FEA397FD6}">
  <ds:schemaRefs>
    <ds:schemaRef ds:uri="http://purl.org/dc/elements/1.1/"/>
    <ds:schemaRef ds:uri="16c05727-aa75-4e4a-9b5f-8a80a1165891"/>
    <ds:schemaRef ds:uri="http://schemas.microsoft.com/sharepoint/v3"/>
    <ds:schemaRef ds:uri="http://schemas.microsoft.com/office/2006/documentManagement/types"/>
    <ds:schemaRef ds:uri="http://schemas.microsoft.com/office/infopath/2007/PartnerControls"/>
    <ds:schemaRef ds:uri="http://purl.org/dc/dcmitype/"/>
    <ds:schemaRef ds:uri="http://schemas.openxmlformats.org/package/2006/metadata/core-properties"/>
    <ds:schemaRef ds:uri="230e9df3-be65-4c73-a93b-d1236ebd677e"/>
    <ds:schemaRef ds:uri="http://schemas.microsoft.com/office/2006/metadata/properties"/>
    <ds:schemaRef ds:uri="71af3243-3dd4-4a8d-8c0d-dd76da1f02a5"/>
    <ds:schemaRef ds:uri="http://www.w3.org/XML/1998/namespace"/>
    <ds:schemaRef ds:uri="http://purl.org/dc/terms/"/>
  </ds:schemaRefs>
</ds:datastoreItem>
</file>

<file path=customXml/itemProps2.xml><?xml version="1.0" encoding="utf-8"?>
<ds:datastoreItem xmlns:ds="http://schemas.openxmlformats.org/officeDocument/2006/customXml" ds:itemID="{97245281-08F3-4104-84BD-39F3D8CFB195}">
  <ds:schemaRefs>
    <ds:schemaRef ds:uri="http://schemas.microsoft.com/sharepoint/v3/contenttype/forms"/>
  </ds:schemaRefs>
</ds:datastoreItem>
</file>

<file path=customXml/itemProps3.xml><?xml version="1.0" encoding="utf-8"?>
<ds:datastoreItem xmlns:ds="http://schemas.openxmlformats.org/officeDocument/2006/customXml" ds:itemID="{A09426A3-87E9-4865-8A6C-3456B026AE0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TM16400962</Template>
  <TotalTime>0</TotalTime>
  <Application>Microsoft Excel</Application>
  <DocSecurity>0</DocSecurity>
  <ScaleCrop>false</ScaleCrop>
  <HeadingPairs>
    <vt:vector size="4" baseType="variant">
      <vt:variant>
        <vt:lpstr>Worksheets</vt:lpstr>
      </vt:variant>
      <vt:variant>
        <vt:i4>2</vt:i4>
      </vt:variant>
      <vt:variant>
        <vt:lpstr>Named Ranges</vt:lpstr>
      </vt:variant>
      <vt:variant>
        <vt:i4>6</vt:i4>
      </vt:variant>
    </vt:vector>
  </HeadingPairs>
  <TitlesOfParts>
    <vt:vector size="8" baseType="lpstr">
      <vt:lpstr>Project schedule</vt:lpstr>
      <vt:lpstr>About</vt:lpstr>
      <vt:lpstr>Display_Week</vt:lpstr>
      <vt:lpstr>'Project schedule'!Print_Titles</vt:lpstr>
      <vt:lpstr>Project_Start</vt:lpstr>
      <vt:lpstr>'Project schedule'!task_end</vt:lpstr>
      <vt:lpstr>'Project schedule'!task_progress</vt:lpstr>
      <vt:lpstr>'Project schedule'!task_start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Luca Steven Delli Castelli</dc:creator>
  <dc:description/>
  <cp:lastModifiedBy>Luca Steven Delli Castelli</cp:lastModifiedBy>
  <dcterms:created xsi:type="dcterms:W3CDTF">2022-03-11T22:41:12Z</dcterms:created>
  <dcterms:modified xsi:type="dcterms:W3CDTF">2026-05-19T14:25:10Z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y fmtid="{D5CDD505-2E9C-101B-9397-08002B2CF9AE}" pid="3" name="MediaServiceImageTags">
    <vt:lpwstr/>
  </property>
</Properties>
</file>